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utwards\Downloads\"/>
    </mc:Choice>
  </mc:AlternateContent>
  <xr:revisionPtr revIDLastSave="0" documentId="13_ncr:1_{42CF9C17-C391-4327-BE0C-D961C33889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cking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48" i="1"/>
</calcChain>
</file>

<file path=xl/sharedStrings.xml><?xml version="1.0" encoding="utf-8"?>
<sst xmlns="http://schemas.openxmlformats.org/spreadsheetml/2006/main" count="217" uniqueCount="199">
  <si>
    <t>Lanocorp New Zealand Ltd</t>
  </si>
  <si>
    <t>P O Box 86051, Rolleston 7658</t>
  </si>
  <si>
    <t>Corner Link &amp; Hynds Drive</t>
  </si>
  <si>
    <t>Rolleston</t>
  </si>
  <si>
    <t>PICKING LIST</t>
  </si>
  <si>
    <t>97-473-315</t>
  </si>
  <si>
    <t>Invoice Number:</t>
  </si>
  <si>
    <t>260819US</t>
  </si>
  <si>
    <t>LANOUSA</t>
  </si>
  <si>
    <t>LANOCORP USA INC</t>
  </si>
  <si>
    <t>103 BUCKLEY COURT CHESTER SPRINGS PA 19425 USA</t>
  </si>
  <si>
    <t>Date</t>
  </si>
  <si>
    <t>Delivery</t>
  </si>
  <si>
    <t>Customer</t>
  </si>
  <si>
    <t>Order Number</t>
  </si>
  <si>
    <t>Packing Slip</t>
  </si>
  <si>
    <t>Internal Reference</t>
  </si>
  <si>
    <t>Sales Person</t>
  </si>
  <si>
    <t>2026-07-29</t>
  </si>
  <si>
    <t>2026-08-19</t>
  </si>
  <si>
    <t>Code</t>
  </si>
  <si>
    <t>BATCH EXPIRY</t>
  </si>
  <si>
    <t>Description</t>
  </si>
  <si>
    <t>Qty Ordered</t>
  </si>
  <si>
    <t>TOTAL Qty Ordered</t>
  </si>
  <si>
    <t>QTY SUPPLIED</t>
  </si>
  <si>
    <t>UNITS/CTN</t>
  </si>
  <si>
    <t>NO. FULL CTN</t>
  </si>
  <si>
    <t>CTN #</t>
  </si>
  <si>
    <t>LOCATION</t>
  </si>
  <si>
    <t>COMMENT</t>
  </si>
  <si>
    <t>BN87</t>
  </si>
  <si>
    <t>By Nature 2% Hyaluronic Acid Sheet Mask 20g for Walmart</t>
  </si>
  <si>
    <t>V-14-3
V-6-3</t>
  </si>
  <si>
    <t>BN72</t>
  </si>
  <si>
    <t>RB 07/2029</t>
  </si>
  <si>
    <t>By Nature Manuka Honey &amp; Collagen Face Mask 20g for Walmart</t>
  </si>
  <si>
    <t>V-13-1</t>
  </si>
  <si>
    <t>BN77</t>
  </si>
  <si>
    <t>PC, OM, PO 06/2029</t>
  </si>
  <si>
    <t>BN VitaminC &amp; Collagen Hydrating Sheet Mask 20g  for Walmart</t>
  </si>
  <si>
    <t>V-3-2</t>
  </si>
  <si>
    <t>JS1803</t>
  </si>
  <si>
    <t>Trader Joe's Supreme Hydrating Eye Cream 15g</t>
  </si>
  <si>
    <t>GD2111</t>
  </si>
  <si>
    <t>19506026315 06/2029</t>
  </si>
  <si>
    <t>Goodness Water Gel Hydrating Cream 60g</t>
  </si>
  <si>
    <t>17-58</t>
  </si>
  <si>
    <t>O-10-3</t>
  </si>
  <si>
    <t>GD2101</t>
  </si>
  <si>
    <t>46 06/2029
66 12/2028</t>
  </si>
  <si>
    <t>Goodness every day cream cleanser 150ml</t>
  </si>
  <si>
    <t>59-71
73-78
72
79-90</t>
  </si>
  <si>
    <t>O-4-1
O-8-4</t>
  </si>
  <si>
    <t>GD2414</t>
  </si>
  <si>
    <t>15407226220 07/2029</t>
  </si>
  <si>
    <t>Goodness Caramel Cloud Body Lotion 235 ml - FG</t>
  </si>
  <si>
    <t>91-170</t>
  </si>
  <si>
    <t>O-7-3</t>
  </si>
  <si>
    <t>GD2117</t>
  </si>
  <si>
    <t>53 07/2029
53 07/2029</t>
  </si>
  <si>
    <t>Goodness Probiotic Clay Mask 50g</t>
  </si>
  <si>
    <t>26
15</t>
  </si>
  <si>
    <t>171-196
197-211</t>
  </si>
  <si>
    <t>O-1-1
O-1-2</t>
  </si>
  <si>
    <t>GD2104</t>
  </si>
  <si>
    <t>30604126104 04/2029</t>
  </si>
  <si>
    <t>Goodness Tone Up Eye Cream 30g</t>
  </si>
  <si>
    <t>212-215</t>
  </si>
  <si>
    <t>O-5-1</t>
  </si>
  <si>
    <t>GD2110</t>
  </si>
  <si>
    <t>Goodness Every Evening Night Cream 60g</t>
  </si>
  <si>
    <t>19
23</t>
  </si>
  <si>
    <t>216-234
235-257</t>
  </si>
  <si>
    <t>O-6-2
O-8-2</t>
  </si>
  <si>
    <t>GD2108</t>
  </si>
  <si>
    <t>6F2 06/2029</t>
  </si>
  <si>
    <t>Goodness Be Cool Mist Toner 140ml</t>
  </si>
  <si>
    <t>258-305</t>
  </si>
  <si>
    <t>O-6-1</t>
  </si>
  <si>
    <t>GD2112</t>
  </si>
  <si>
    <t>02207526112 07/2029</t>
  </si>
  <si>
    <t>Goodness 3-in-1 Jelly Oil Cleanser 150ml</t>
  </si>
  <si>
    <t>306-329</t>
  </si>
  <si>
    <t>O-11-1</t>
  </si>
  <si>
    <t>NS2028</t>
  </si>
  <si>
    <t>PE 06/2029
PE 06/2029</t>
  </si>
  <si>
    <t>Lanocreme Sheet Face Mask with Vitamin E 20g*5</t>
  </si>
  <si>
    <t>49
27</t>
  </si>
  <si>
    <t>330-378
379-405</t>
  </si>
  <si>
    <t>N-8-1
N-8-2</t>
  </si>
  <si>
    <t>GD2407</t>
  </si>
  <si>
    <t>MO 04/2028</t>
  </si>
  <si>
    <t>Goodness Every Day Lip Balm Lime &amp; Lemon 10gm- FG</t>
  </si>
  <si>
    <t>406-410</t>
  </si>
  <si>
    <t>O-3-3</t>
  </si>
  <si>
    <t>GD2408</t>
  </si>
  <si>
    <t>ME 02/2028</t>
  </si>
  <si>
    <t>Goodness Every Day Lip Balm Caramel Latte 10gm - FG</t>
  </si>
  <si>
    <t>411-415</t>
  </si>
  <si>
    <t>O-10-2</t>
  </si>
  <si>
    <t>NS2007</t>
  </si>
  <si>
    <t>06507326007 07/2029
06507326007 07/2029</t>
  </si>
  <si>
    <t>Lanocreme Face Cream with Vitamin E 100g (Pink)</t>
  </si>
  <si>
    <t>18
48</t>
  </si>
  <si>
    <t>416-433
434-481</t>
  </si>
  <si>
    <t>M-1-1
M-1-2</t>
  </si>
  <si>
    <t>GD2105</t>
  </si>
  <si>
    <t>08507024305 07/2027
16609125105 09/2028
04008426405 08/2029
04008426405 08/2029</t>
  </si>
  <si>
    <t>Goodness Be Fresh Foaming Cleanser 150ml</t>
  </si>
  <si>
    <t>26
7
55
7</t>
  </si>
  <si>
    <t>482-507
508-514
699-753
754-760</t>
  </si>
  <si>
    <t>O-9-1
O-7-2
O-11-1
O-9-1</t>
  </si>
  <si>
    <t>Short
Short
Use first</t>
  </si>
  <si>
    <t>NS2005</t>
  </si>
  <si>
    <t>19603226009 03/2031
04605126109 05/2031
08201626009 01/2031</t>
  </si>
  <si>
    <t>Lanocreme Lanoil with Vitamin E 50ml-FG</t>
  </si>
  <si>
    <t>37
21
22</t>
  </si>
  <si>
    <t>515-551
552-572
573-594</t>
  </si>
  <si>
    <t>K-7-1
K-2-3
K-1-4</t>
  </si>
  <si>
    <t>NS2011</t>
  </si>
  <si>
    <t>54 07/2029</t>
  </si>
  <si>
    <t>Lanocreme Lip Balm with Vitamin E 10g - FG</t>
  </si>
  <si>
    <t>595-698</t>
  </si>
  <si>
    <t>N-4-1</t>
  </si>
  <si>
    <t>GD2106</t>
  </si>
  <si>
    <t>5E1 05/2028
5E1 6G2 05/2028
6G2 07/2029</t>
  </si>
  <si>
    <t>Goodness Omega Star Facial Oil 30ml</t>
  </si>
  <si>
    <t>2
1
47</t>
  </si>
  <si>
    <t>761-762
763
764-810</t>
  </si>
  <si>
    <t>O-7-2
O-7-2
O-7-2</t>
  </si>
  <si>
    <t>PROMOBN36</t>
  </si>
  <si>
    <t>11082636 01/2029
11082636 01/2029</t>
  </si>
  <si>
    <t>By Nature Hyaluronic Ambassador Box</t>
  </si>
  <si>
    <t>811-846
847</t>
  </si>
  <si>
    <t>R-7-3
R-7-3</t>
  </si>
  <si>
    <t>GD2103</t>
  </si>
  <si>
    <t>22107426303 07/2029</t>
  </si>
  <si>
    <t>Goodness Every Morning Moisturiser 60g</t>
  </si>
  <si>
    <t>848-889</t>
  </si>
  <si>
    <t>BLS01</t>
  </si>
  <si>
    <t>6H2 08/2029
6H2 08/2029</t>
  </si>
  <si>
    <t>Blossom Hand &amp; Nail oil 30 ml - FG</t>
  </si>
  <si>
    <t>890-964
965</t>
  </si>
  <si>
    <t>O-11-3
O-11-3</t>
  </si>
  <si>
    <t>PROMOBN37</t>
  </si>
  <si>
    <t>13082637 11/2027</t>
  </si>
  <si>
    <t>By Nature Vitamin C Ambassador Box</t>
  </si>
  <si>
    <t>966-990</t>
  </si>
  <si>
    <t>M-11-2</t>
  </si>
  <si>
    <t>GD2109</t>
  </si>
  <si>
    <t>1408262109 09/2028
1408262109 09/2028
1408262109 09/2028</t>
  </si>
  <si>
    <t>Goodness - On-the-Go Skincare Kit - FG</t>
  </si>
  <si>
    <t>55
55
20</t>
  </si>
  <si>
    <t>991-1045
1046-1100
1101-1120</t>
  </si>
  <si>
    <t>M-11-2
M-11-3
O-9-3</t>
  </si>
  <si>
    <t>Checked by:</t>
  </si>
  <si>
    <t>ED, GREG 2026-08-17 08:54:42</t>
  </si>
  <si>
    <t>Packed by:</t>
  </si>
  <si>
    <t>Aries</t>
  </si>
  <si>
    <t>MAINFREIGHT</t>
  </si>
  <si>
    <t>S05463985</t>
  </si>
  <si>
    <t>49 07/2030</t>
  </si>
  <si>
    <t>48 07/2030</t>
  </si>
  <si>
    <t>8</t>
  </si>
  <si>
    <t>13</t>
  </si>
  <si>
    <t>9</t>
  </si>
  <si>
    <t>11</t>
  </si>
  <si>
    <t>5</t>
  </si>
  <si>
    <t>7</t>
  </si>
  <si>
    <t>15</t>
  </si>
  <si>
    <t>6</t>
  </si>
  <si>
    <t>10</t>
  </si>
  <si>
    <t>12</t>
  </si>
  <si>
    <t>14</t>
  </si>
  <si>
    <t>16</t>
  </si>
  <si>
    <t>J-5-1</t>
  </si>
  <si>
    <t>J-7-1</t>
  </si>
  <si>
    <t>J-5-2</t>
  </si>
  <si>
    <t>J-6-2</t>
  </si>
  <si>
    <t>J-10-3</t>
  </si>
  <si>
    <t>J-11-3</t>
  </si>
  <si>
    <t>J-9-3</t>
  </si>
  <si>
    <t>J-10-4</t>
  </si>
  <si>
    <t>J-5-4</t>
  </si>
  <si>
    <t>J-6-4</t>
  </si>
  <si>
    <t>J-7-4</t>
  </si>
  <si>
    <t>V-15-1</t>
  </si>
  <si>
    <t>NO. FULL PALLET</t>
  </si>
  <si>
    <t>PLT #</t>
  </si>
  <si>
    <t>1-2</t>
  </si>
  <si>
    <t>3</t>
  </si>
  <si>
    <t>RC 07/2029</t>
  </si>
  <si>
    <t>Short</t>
  </si>
  <si>
    <t>Weight</t>
  </si>
  <si>
    <t>Cube</t>
  </si>
  <si>
    <t>HANDSTACK</t>
  </si>
  <si>
    <t>NET CUBE</t>
  </si>
  <si>
    <t>NET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</si>
</sst>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9"/>
      <color rgb="FF000000"/>
      <name val="Calibri"/>
    </font>
    <font>
      <sz val="10"/>
      <color rgb="FF000000"/>
      <name val="Calibri"/>
    </font>
    <font>
      <sz val="8"/>
      <name val="Calibri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3EFA7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" fontId="0" fillId="0" borderId="0" xfId="0" applyNumberFormat="1"/>
    <xf numFmtId="2" fontId="5" fillId="0" borderId="0" xfId="0" applyNumberFormat="1" applyFont="1"/>
    <xf numFmtId="0" fontId="4" fillId="2" borderId="0" xfId="0" applyFont="1" applyFill="1"/>
    <xf numFmtId="0" fontId="4" fillId="0" borderId="0" xfId="0" applyFont="1"/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1"/>
  <sheetViews>
    <sheetView tabSelected="1" topLeftCell="H33" zoomScaleNormal="100" workbookViewId="0">
      <selection activeCell="L37" sqref="L37"/>
    </sheetView>
  </sheetViews>
  <sheetFormatPr defaultColWidth="32.83203125" defaultRowHeight="12" x14ac:dyDescent="0.2"/>
  <cols>
    <col min="2" max="2" width="32.33203125" bestFit="1" customWidth="1"/>
    <col min="3" max="3" width="74.33203125" bestFit="1" customWidth="1"/>
  </cols>
  <sheetData>
    <row r="1" spans="1:14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spans="1:14" ht="12.75" x14ac:dyDescent="0.2">
      <c r="A2" s="2" t="s">
        <v>4</v>
      </c>
      <c r="B2" s="3"/>
      <c r="C2" s="2" t="s">
        <v>5</v>
      </c>
      <c r="D2" s="2" t="s">
        <v>6</v>
      </c>
      <c r="E2" s="3" t="s">
        <v>7</v>
      </c>
      <c r="F2" s="3"/>
      <c r="G2" s="3"/>
      <c r="H2" s="3"/>
      <c r="I2" s="3"/>
      <c r="J2" s="3"/>
      <c r="K2" s="3"/>
      <c r="L2" s="3"/>
      <c r="M2" s="3"/>
    </row>
    <row r="3" spans="1:14" ht="12.75" x14ac:dyDescent="0.2">
      <c r="A3" s="2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4" ht="12.75" x14ac:dyDescent="0.2">
      <c r="A4" s="3"/>
      <c r="B4" s="4" t="s">
        <v>9</v>
      </c>
      <c r="C4" s="14" t="s">
        <v>10</v>
      </c>
      <c r="D4" s="14"/>
      <c r="E4" s="3"/>
      <c r="F4" s="3"/>
      <c r="G4" s="3"/>
      <c r="H4" s="3"/>
      <c r="I4" s="3"/>
      <c r="J4" s="3"/>
      <c r="K4" s="3"/>
      <c r="L4" s="3"/>
      <c r="M4" s="3"/>
    </row>
    <row r="5" spans="1:14" ht="12.75" x14ac:dyDescent="0.2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/>
      <c r="I5" s="3"/>
      <c r="J5" s="3"/>
      <c r="K5" s="3"/>
      <c r="L5" s="3"/>
      <c r="M5" s="3"/>
    </row>
    <row r="6" spans="1:14" ht="12.75" x14ac:dyDescent="0.2">
      <c r="A6" s="3" t="s">
        <v>18</v>
      </c>
      <c r="B6" s="3" t="s">
        <v>19</v>
      </c>
      <c r="C6" s="3" t="s">
        <v>8</v>
      </c>
      <c r="D6" s="3" t="s">
        <v>7</v>
      </c>
      <c r="E6" s="3" t="s">
        <v>7</v>
      </c>
      <c r="F6" s="3" t="s">
        <v>7</v>
      </c>
      <c r="G6" s="3"/>
      <c r="H6" s="3"/>
      <c r="I6" s="3"/>
      <c r="J6" s="3"/>
      <c r="K6" s="3"/>
      <c r="L6" s="3"/>
      <c r="M6" s="3"/>
    </row>
    <row r="7" spans="1:14" ht="12.75" x14ac:dyDescent="0.2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5" t="s">
        <v>188</v>
      </c>
      <c r="I7" s="5" t="s">
        <v>27</v>
      </c>
      <c r="J7" s="5" t="s">
        <v>189</v>
      </c>
      <c r="K7" s="5" t="s">
        <v>28</v>
      </c>
      <c r="L7" s="5" t="s">
        <v>29</v>
      </c>
      <c r="M7" s="5" t="s">
        <v>30</v>
      </c>
    </row>
    <row r="8" spans="1:14" ht="60.75" customHeight="1" x14ac:dyDescent="0.2">
      <c r="A8" s="16" t="s">
        <v>31</v>
      </c>
      <c r="B8" s="17" t="s">
        <v>192</v>
      </c>
      <c r="C8" s="16" t="s">
        <v>32</v>
      </c>
      <c r="D8" s="18">
        <v>16512</v>
      </c>
      <c r="E8" s="18">
        <v>16512</v>
      </c>
      <c r="F8" s="18">
        <v>16512</v>
      </c>
      <c r="G8" s="18">
        <v>12</v>
      </c>
      <c r="H8" s="18">
        <v>2</v>
      </c>
      <c r="I8" s="18"/>
      <c r="J8" s="19" t="s">
        <v>190</v>
      </c>
      <c r="K8" s="19"/>
      <c r="L8" s="18" t="s">
        <v>33</v>
      </c>
      <c r="M8" s="18"/>
      <c r="N8" s="1"/>
    </row>
    <row r="9" spans="1:14" ht="60.75" customHeight="1" x14ac:dyDescent="0.2">
      <c r="A9" s="16" t="s">
        <v>34</v>
      </c>
      <c r="B9" s="20" t="s">
        <v>35</v>
      </c>
      <c r="C9" s="16" t="s">
        <v>36</v>
      </c>
      <c r="D9" s="18">
        <v>8256</v>
      </c>
      <c r="E9" s="18">
        <v>8256</v>
      </c>
      <c r="F9" s="18">
        <v>8256</v>
      </c>
      <c r="G9" s="18">
        <v>12</v>
      </c>
      <c r="H9" s="18">
        <v>1</v>
      </c>
      <c r="I9" s="18"/>
      <c r="J9" s="19" t="s">
        <v>191</v>
      </c>
      <c r="K9" s="19"/>
      <c r="L9" s="18" t="s">
        <v>37</v>
      </c>
      <c r="M9" s="18"/>
      <c r="N9" s="1"/>
    </row>
    <row r="10" spans="1:14" ht="60.75" customHeight="1" x14ac:dyDescent="0.2">
      <c r="A10" s="16" t="s">
        <v>38</v>
      </c>
      <c r="B10" s="20" t="s">
        <v>39</v>
      </c>
      <c r="C10" s="16" t="s">
        <v>40</v>
      </c>
      <c r="D10" s="18">
        <v>8256</v>
      </c>
      <c r="E10" s="18">
        <v>8256</v>
      </c>
      <c r="F10" s="18">
        <v>8256</v>
      </c>
      <c r="G10" s="18">
        <v>12</v>
      </c>
      <c r="H10" s="18">
        <v>1</v>
      </c>
      <c r="I10" s="18"/>
      <c r="J10" s="19">
        <v>4</v>
      </c>
      <c r="K10" s="19"/>
      <c r="L10" s="18" t="s">
        <v>41</v>
      </c>
      <c r="M10" s="18"/>
      <c r="N10" s="1"/>
    </row>
    <row r="11" spans="1:14" ht="60.75" customHeight="1" x14ac:dyDescent="0.2">
      <c r="A11" s="21" t="s">
        <v>42</v>
      </c>
      <c r="B11" s="20" t="s">
        <v>162</v>
      </c>
      <c r="C11" s="21" t="s">
        <v>43</v>
      </c>
      <c r="D11" s="22">
        <v>88128</v>
      </c>
      <c r="E11" s="22">
        <v>88128</v>
      </c>
      <c r="F11" s="22">
        <v>88128</v>
      </c>
      <c r="G11" s="22">
        <v>24</v>
      </c>
      <c r="H11" s="22">
        <v>12</v>
      </c>
      <c r="I11" s="22"/>
      <c r="J11" s="19" t="s">
        <v>164</v>
      </c>
      <c r="K11" s="19"/>
      <c r="L11" s="18" t="s">
        <v>176</v>
      </c>
      <c r="M11" s="18"/>
      <c r="N11" s="1"/>
    </row>
    <row r="12" spans="1:14" ht="60.75" customHeight="1" x14ac:dyDescent="0.2">
      <c r="A12" s="23"/>
      <c r="B12" s="20" t="s">
        <v>162</v>
      </c>
      <c r="C12" s="23"/>
      <c r="D12" s="24"/>
      <c r="E12" s="24"/>
      <c r="F12" s="24"/>
      <c r="G12" s="24"/>
      <c r="H12" s="24"/>
      <c r="I12" s="24"/>
      <c r="J12" s="19" t="s">
        <v>165</v>
      </c>
      <c r="K12" s="19"/>
      <c r="L12" s="18" t="s">
        <v>177</v>
      </c>
      <c r="M12" s="18"/>
      <c r="N12" s="1"/>
    </row>
    <row r="13" spans="1:14" ht="60.75" customHeight="1" x14ac:dyDescent="0.2">
      <c r="A13" s="23"/>
      <c r="B13" s="20" t="s">
        <v>162</v>
      </c>
      <c r="C13" s="23"/>
      <c r="D13" s="24"/>
      <c r="E13" s="24"/>
      <c r="F13" s="24"/>
      <c r="G13" s="24"/>
      <c r="H13" s="24"/>
      <c r="I13" s="24"/>
      <c r="J13" s="19" t="s">
        <v>166</v>
      </c>
      <c r="K13" s="19"/>
      <c r="L13" s="18" t="s">
        <v>178</v>
      </c>
      <c r="M13" s="18"/>
      <c r="N13" s="1"/>
    </row>
    <row r="14" spans="1:14" ht="60.75" customHeight="1" x14ac:dyDescent="0.2">
      <c r="A14" s="23"/>
      <c r="B14" s="20" t="s">
        <v>162</v>
      </c>
      <c r="C14" s="23"/>
      <c r="D14" s="24"/>
      <c r="E14" s="24"/>
      <c r="F14" s="24"/>
      <c r="G14" s="24"/>
      <c r="H14" s="24"/>
      <c r="I14" s="24"/>
      <c r="J14" s="19" t="s">
        <v>167</v>
      </c>
      <c r="K14" s="19"/>
      <c r="L14" s="18" t="s">
        <v>179</v>
      </c>
      <c r="M14" s="18"/>
      <c r="N14" s="1"/>
    </row>
    <row r="15" spans="1:14" ht="60.75" customHeight="1" x14ac:dyDescent="0.2">
      <c r="A15" s="23"/>
      <c r="B15" s="20" t="s">
        <v>162</v>
      </c>
      <c r="C15" s="23"/>
      <c r="D15" s="24"/>
      <c r="E15" s="24"/>
      <c r="F15" s="24"/>
      <c r="G15" s="24"/>
      <c r="H15" s="24"/>
      <c r="I15" s="24"/>
      <c r="J15" s="19" t="s">
        <v>168</v>
      </c>
      <c r="K15" s="19"/>
      <c r="L15" s="18" t="s">
        <v>180</v>
      </c>
      <c r="M15" s="18"/>
      <c r="N15" s="1"/>
    </row>
    <row r="16" spans="1:14" ht="60.75" customHeight="1" x14ac:dyDescent="0.2">
      <c r="A16" s="23"/>
      <c r="B16" s="20" t="s">
        <v>162</v>
      </c>
      <c r="C16" s="23"/>
      <c r="D16" s="24"/>
      <c r="E16" s="24"/>
      <c r="F16" s="24"/>
      <c r="G16" s="24"/>
      <c r="H16" s="24"/>
      <c r="I16" s="24"/>
      <c r="J16" s="19" t="s">
        <v>169</v>
      </c>
      <c r="K16" s="19"/>
      <c r="L16" s="18" t="s">
        <v>181</v>
      </c>
      <c r="M16" s="18"/>
      <c r="N16" s="1"/>
    </row>
    <row r="17" spans="1:14" ht="60.75" customHeight="1" x14ac:dyDescent="0.2">
      <c r="A17" s="23"/>
      <c r="B17" s="20" t="s">
        <v>162</v>
      </c>
      <c r="C17" s="23"/>
      <c r="D17" s="24"/>
      <c r="E17" s="24"/>
      <c r="F17" s="24"/>
      <c r="G17" s="24"/>
      <c r="H17" s="24"/>
      <c r="I17" s="24"/>
      <c r="J17" s="19" t="s">
        <v>170</v>
      </c>
      <c r="K17" s="19"/>
      <c r="L17" s="18" t="s">
        <v>182</v>
      </c>
      <c r="M17" s="18"/>
      <c r="N17" s="1"/>
    </row>
    <row r="18" spans="1:14" ht="60.75" customHeight="1" x14ac:dyDescent="0.2">
      <c r="A18" s="23"/>
      <c r="B18" s="20" t="s">
        <v>163</v>
      </c>
      <c r="C18" s="23"/>
      <c r="D18" s="24"/>
      <c r="E18" s="24"/>
      <c r="F18" s="24"/>
      <c r="G18" s="24"/>
      <c r="H18" s="24"/>
      <c r="I18" s="24"/>
      <c r="J18" s="19" t="s">
        <v>171</v>
      </c>
      <c r="K18" s="19"/>
      <c r="L18" s="18" t="s">
        <v>183</v>
      </c>
      <c r="M18" s="18"/>
      <c r="N18" s="1"/>
    </row>
    <row r="19" spans="1:14" ht="60.75" customHeight="1" x14ac:dyDescent="0.2">
      <c r="A19" s="23"/>
      <c r="B19" s="20" t="s">
        <v>163</v>
      </c>
      <c r="C19" s="23"/>
      <c r="D19" s="24"/>
      <c r="E19" s="24"/>
      <c r="F19" s="24"/>
      <c r="G19" s="24"/>
      <c r="H19" s="24"/>
      <c r="I19" s="24"/>
      <c r="J19" s="19" t="s">
        <v>172</v>
      </c>
      <c r="K19" s="19"/>
      <c r="L19" s="18" t="s">
        <v>184</v>
      </c>
      <c r="M19" s="18"/>
      <c r="N19" s="1"/>
    </row>
    <row r="20" spans="1:14" ht="60.75" customHeight="1" x14ac:dyDescent="0.2">
      <c r="A20" s="23"/>
      <c r="B20" s="20" t="s">
        <v>163</v>
      </c>
      <c r="C20" s="23"/>
      <c r="D20" s="24"/>
      <c r="E20" s="24"/>
      <c r="F20" s="24"/>
      <c r="G20" s="24"/>
      <c r="H20" s="24"/>
      <c r="I20" s="24"/>
      <c r="J20" s="19" t="s">
        <v>173</v>
      </c>
      <c r="K20" s="19"/>
      <c r="L20" s="18" t="s">
        <v>185</v>
      </c>
      <c r="M20" s="18"/>
      <c r="N20" s="1"/>
    </row>
    <row r="21" spans="1:14" ht="60.75" customHeight="1" x14ac:dyDescent="0.2">
      <c r="A21" s="23"/>
      <c r="B21" s="20" t="s">
        <v>163</v>
      </c>
      <c r="C21" s="23"/>
      <c r="D21" s="24"/>
      <c r="E21" s="24"/>
      <c r="F21" s="24"/>
      <c r="G21" s="24"/>
      <c r="H21" s="24"/>
      <c r="I21" s="24"/>
      <c r="J21" s="19" t="s">
        <v>174</v>
      </c>
      <c r="K21" s="19"/>
      <c r="L21" s="18" t="s">
        <v>186</v>
      </c>
      <c r="M21" s="18"/>
      <c r="N21" s="1"/>
    </row>
    <row r="22" spans="1:14" ht="60.75" customHeight="1" x14ac:dyDescent="0.2">
      <c r="A22" s="25"/>
      <c r="B22" s="20" t="s">
        <v>162</v>
      </c>
      <c r="C22" s="25"/>
      <c r="D22" s="26"/>
      <c r="E22" s="26"/>
      <c r="F22" s="26"/>
      <c r="G22" s="26"/>
      <c r="H22" s="26"/>
      <c r="I22" s="26"/>
      <c r="J22" s="19" t="s">
        <v>175</v>
      </c>
      <c r="K22" s="19"/>
      <c r="L22" s="18" t="s">
        <v>187</v>
      </c>
      <c r="M22" s="18"/>
      <c r="N22" s="1"/>
    </row>
    <row r="23" spans="1:14" ht="60.75" customHeight="1" x14ac:dyDescent="0.2">
      <c r="A23" s="16" t="s">
        <v>44</v>
      </c>
      <c r="B23" s="20" t="s">
        <v>45</v>
      </c>
      <c r="C23" s="16" t="s">
        <v>46</v>
      </c>
      <c r="D23" s="18">
        <v>2016</v>
      </c>
      <c r="E23" s="18">
        <v>2016</v>
      </c>
      <c r="F23" s="18">
        <v>2016</v>
      </c>
      <c r="G23" s="18">
        <v>48</v>
      </c>
      <c r="H23" s="18"/>
      <c r="I23" s="18">
        <v>42</v>
      </c>
      <c r="J23" s="18"/>
      <c r="K23" s="19" t="s">
        <v>47</v>
      </c>
      <c r="L23" s="18" t="s">
        <v>48</v>
      </c>
      <c r="M23" s="18"/>
      <c r="N23" s="1"/>
    </row>
    <row r="24" spans="1:14" ht="60.75" customHeight="1" x14ac:dyDescent="0.2">
      <c r="A24" s="16" t="s">
        <v>49</v>
      </c>
      <c r="B24" s="17" t="s">
        <v>50</v>
      </c>
      <c r="C24" s="16" t="s">
        <v>51</v>
      </c>
      <c r="D24" s="18">
        <v>2048</v>
      </c>
      <c r="E24" s="18">
        <v>2048</v>
      </c>
      <c r="F24" s="18">
        <v>2048</v>
      </c>
      <c r="G24" s="18">
        <v>64</v>
      </c>
      <c r="H24" s="18"/>
      <c r="I24" s="18">
        <v>32</v>
      </c>
      <c r="J24" s="18"/>
      <c r="K24" s="19" t="s">
        <v>52</v>
      </c>
      <c r="L24" s="18" t="s">
        <v>53</v>
      </c>
      <c r="M24" s="18"/>
      <c r="N24" s="1"/>
    </row>
    <row r="25" spans="1:14" ht="60.75" customHeight="1" x14ac:dyDescent="0.2">
      <c r="A25" s="16" t="s">
        <v>54</v>
      </c>
      <c r="B25" s="20" t="s">
        <v>55</v>
      </c>
      <c r="C25" s="16" t="s">
        <v>56</v>
      </c>
      <c r="D25" s="18">
        <v>1280</v>
      </c>
      <c r="E25" s="18">
        <v>1280</v>
      </c>
      <c r="F25" s="18">
        <v>1280</v>
      </c>
      <c r="G25" s="18">
        <v>16</v>
      </c>
      <c r="H25" s="18"/>
      <c r="I25" s="18">
        <v>80</v>
      </c>
      <c r="J25" s="18"/>
      <c r="K25" s="19" t="s">
        <v>57</v>
      </c>
      <c r="L25" s="18" t="s">
        <v>58</v>
      </c>
      <c r="M25" s="18"/>
      <c r="N25" s="1"/>
    </row>
    <row r="26" spans="1:14" ht="60.75" customHeight="1" x14ac:dyDescent="0.2">
      <c r="A26" s="16" t="s">
        <v>59</v>
      </c>
      <c r="B26" s="17" t="s">
        <v>60</v>
      </c>
      <c r="C26" s="16" t="s">
        <v>61</v>
      </c>
      <c r="D26" s="18">
        <v>3936</v>
      </c>
      <c r="E26" s="18">
        <v>3936</v>
      </c>
      <c r="F26" s="18">
        <v>3936</v>
      </c>
      <c r="G26" s="18">
        <v>96</v>
      </c>
      <c r="H26" s="18"/>
      <c r="I26" s="18" t="s">
        <v>62</v>
      </c>
      <c r="J26" s="18"/>
      <c r="K26" s="19" t="s">
        <v>63</v>
      </c>
      <c r="L26" s="18" t="s">
        <v>64</v>
      </c>
      <c r="M26" s="18"/>
      <c r="N26" s="1"/>
    </row>
    <row r="27" spans="1:14" ht="60.75" customHeight="1" x14ac:dyDescent="0.2">
      <c r="A27" s="16" t="s">
        <v>65</v>
      </c>
      <c r="B27" s="20" t="s">
        <v>66</v>
      </c>
      <c r="C27" s="16" t="s">
        <v>67</v>
      </c>
      <c r="D27" s="18">
        <v>504</v>
      </c>
      <c r="E27" s="18">
        <v>504</v>
      </c>
      <c r="F27" s="18">
        <v>504</v>
      </c>
      <c r="G27" s="18">
        <v>126</v>
      </c>
      <c r="H27" s="18"/>
      <c r="I27" s="18">
        <v>4</v>
      </c>
      <c r="J27" s="18"/>
      <c r="K27" s="19" t="s">
        <v>68</v>
      </c>
      <c r="L27" s="18" t="s">
        <v>69</v>
      </c>
      <c r="M27" s="18"/>
      <c r="N27" s="1"/>
    </row>
    <row r="28" spans="1:14" ht="60.75" customHeight="1" x14ac:dyDescent="0.2">
      <c r="A28" s="16" t="s">
        <v>70</v>
      </c>
      <c r="B28" s="17">
        <v>26306126410.002956</v>
      </c>
      <c r="C28" s="16" t="s">
        <v>71</v>
      </c>
      <c r="D28" s="18">
        <v>2016</v>
      </c>
      <c r="E28" s="18">
        <v>2016</v>
      </c>
      <c r="F28" s="18">
        <v>2016</v>
      </c>
      <c r="G28" s="18">
        <v>48</v>
      </c>
      <c r="H28" s="18"/>
      <c r="I28" s="18" t="s">
        <v>72</v>
      </c>
      <c r="J28" s="18"/>
      <c r="K28" s="19" t="s">
        <v>73</v>
      </c>
      <c r="L28" s="18" t="s">
        <v>74</v>
      </c>
      <c r="M28" s="18"/>
      <c r="N28" s="1"/>
    </row>
    <row r="29" spans="1:14" ht="60.75" customHeight="1" x14ac:dyDescent="0.2">
      <c r="A29" s="16" t="s">
        <v>75</v>
      </c>
      <c r="B29" s="20" t="s">
        <v>76</v>
      </c>
      <c r="C29" s="16" t="s">
        <v>77</v>
      </c>
      <c r="D29" s="18">
        <v>2016</v>
      </c>
      <c r="E29" s="18">
        <v>2016</v>
      </c>
      <c r="F29" s="18">
        <v>2016</v>
      </c>
      <c r="G29" s="18">
        <v>42</v>
      </c>
      <c r="H29" s="18"/>
      <c r="I29" s="18">
        <v>48</v>
      </c>
      <c r="J29" s="18"/>
      <c r="K29" s="19" t="s">
        <v>78</v>
      </c>
      <c r="L29" s="18" t="s">
        <v>79</v>
      </c>
      <c r="M29" s="18"/>
      <c r="N29" s="1"/>
    </row>
    <row r="30" spans="1:14" ht="60.75" customHeight="1" x14ac:dyDescent="0.2">
      <c r="A30" s="16" t="s">
        <v>80</v>
      </c>
      <c r="B30" s="20" t="s">
        <v>81</v>
      </c>
      <c r="C30" s="16" t="s">
        <v>82</v>
      </c>
      <c r="D30" s="27">
        <v>2000</v>
      </c>
      <c r="E30" s="27">
        <v>2000</v>
      </c>
      <c r="F30" s="27">
        <v>1920</v>
      </c>
      <c r="G30" s="18">
        <v>80</v>
      </c>
      <c r="H30" s="18"/>
      <c r="I30" s="18">
        <v>24</v>
      </c>
      <c r="J30" s="18"/>
      <c r="K30" s="19" t="s">
        <v>83</v>
      </c>
      <c r="L30" s="18" t="s">
        <v>84</v>
      </c>
      <c r="M30" s="18" t="s">
        <v>193</v>
      </c>
      <c r="N30" s="1"/>
    </row>
    <row r="31" spans="1:14" ht="60.75" customHeight="1" x14ac:dyDescent="0.2">
      <c r="A31" s="16" t="s">
        <v>85</v>
      </c>
      <c r="B31" s="17" t="s">
        <v>86</v>
      </c>
      <c r="C31" s="16" t="s">
        <v>87</v>
      </c>
      <c r="D31" s="27">
        <v>2732</v>
      </c>
      <c r="E31" s="27">
        <v>2732</v>
      </c>
      <c r="F31" s="27">
        <v>2736</v>
      </c>
      <c r="G31" s="18">
        <v>36</v>
      </c>
      <c r="H31" s="18"/>
      <c r="I31" s="18" t="s">
        <v>88</v>
      </c>
      <c r="J31" s="18"/>
      <c r="K31" s="19" t="s">
        <v>89</v>
      </c>
      <c r="L31" s="18" t="s">
        <v>90</v>
      </c>
      <c r="M31" s="18"/>
      <c r="N31" s="1"/>
    </row>
    <row r="32" spans="1:14" ht="60.75" customHeight="1" x14ac:dyDescent="0.2">
      <c r="A32" s="16" t="s">
        <v>91</v>
      </c>
      <c r="B32" s="20" t="s">
        <v>92</v>
      </c>
      <c r="C32" s="16" t="s">
        <v>93</v>
      </c>
      <c r="D32" s="18">
        <v>300</v>
      </c>
      <c r="E32" s="18">
        <v>300</v>
      </c>
      <c r="F32" s="18">
        <v>300</v>
      </c>
      <c r="G32" s="18">
        <v>60</v>
      </c>
      <c r="H32" s="18"/>
      <c r="I32" s="18">
        <v>5</v>
      </c>
      <c r="J32" s="18"/>
      <c r="K32" s="19" t="s">
        <v>94</v>
      </c>
      <c r="L32" s="18" t="s">
        <v>95</v>
      </c>
      <c r="M32" s="18"/>
      <c r="N32" s="1"/>
    </row>
    <row r="33" spans="1:14" ht="60.75" customHeight="1" x14ac:dyDescent="0.2">
      <c r="A33" s="16" t="s">
        <v>96</v>
      </c>
      <c r="B33" s="20" t="s">
        <v>97</v>
      </c>
      <c r="C33" s="16" t="s">
        <v>98</v>
      </c>
      <c r="D33" s="18">
        <v>300</v>
      </c>
      <c r="E33" s="18">
        <v>300</v>
      </c>
      <c r="F33" s="18">
        <v>300</v>
      </c>
      <c r="G33" s="18">
        <v>60</v>
      </c>
      <c r="H33" s="18"/>
      <c r="I33" s="18">
        <v>5</v>
      </c>
      <c r="J33" s="18"/>
      <c r="K33" s="19" t="s">
        <v>99</v>
      </c>
      <c r="L33" s="18" t="s">
        <v>100</v>
      </c>
      <c r="M33" s="18"/>
      <c r="N33" s="1"/>
    </row>
    <row r="34" spans="1:14" ht="60.75" customHeight="1" x14ac:dyDescent="0.2">
      <c r="A34" s="16" t="s">
        <v>101</v>
      </c>
      <c r="B34" s="17" t="s">
        <v>102</v>
      </c>
      <c r="C34" s="16" t="s">
        <v>103</v>
      </c>
      <c r="D34" s="18">
        <v>3960</v>
      </c>
      <c r="E34" s="18">
        <v>3960</v>
      </c>
      <c r="F34" s="18">
        <v>3960</v>
      </c>
      <c r="G34" s="18">
        <v>60</v>
      </c>
      <c r="H34" s="18"/>
      <c r="I34" s="18" t="s">
        <v>104</v>
      </c>
      <c r="J34" s="18"/>
      <c r="K34" s="19" t="s">
        <v>105</v>
      </c>
      <c r="L34" s="18" t="s">
        <v>106</v>
      </c>
      <c r="M34" s="18"/>
      <c r="N34" s="1"/>
    </row>
    <row r="35" spans="1:14" ht="60.75" customHeight="1" x14ac:dyDescent="0.2">
      <c r="A35" s="16" t="s">
        <v>107</v>
      </c>
      <c r="B35" s="17" t="s">
        <v>108</v>
      </c>
      <c r="C35" s="16" t="s">
        <v>109</v>
      </c>
      <c r="D35" s="18">
        <v>3990</v>
      </c>
      <c r="E35" s="18">
        <v>3990</v>
      </c>
      <c r="F35" s="18">
        <v>3990</v>
      </c>
      <c r="G35" s="18">
        <v>42</v>
      </c>
      <c r="H35" s="18"/>
      <c r="I35" s="18" t="s">
        <v>110</v>
      </c>
      <c r="J35" s="18"/>
      <c r="K35" s="19" t="s">
        <v>111</v>
      </c>
      <c r="L35" s="18" t="s">
        <v>112</v>
      </c>
      <c r="M35" s="18" t="s">
        <v>113</v>
      </c>
      <c r="N35" s="1"/>
    </row>
    <row r="36" spans="1:14" ht="60.75" customHeight="1" x14ac:dyDescent="0.2">
      <c r="A36" s="16" t="s">
        <v>114</v>
      </c>
      <c r="B36" s="17" t="s">
        <v>115</v>
      </c>
      <c r="C36" s="16" t="s">
        <v>116</v>
      </c>
      <c r="D36" s="18">
        <v>4000</v>
      </c>
      <c r="E36" s="18">
        <v>4000</v>
      </c>
      <c r="F36" s="18">
        <v>4000</v>
      </c>
      <c r="G36" s="18">
        <v>50</v>
      </c>
      <c r="H36" s="18"/>
      <c r="I36" s="18" t="s">
        <v>117</v>
      </c>
      <c r="J36" s="18"/>
      <c r="K36" s="19" t="s">
        <v>118</v>
      </c>
      <c r="L36" s="18" t="s">
        <v>119</v>
      </c>
      <c r="M36" s="18"/>
      <c r="N36" s="1"/>
    </row>
    <row r="37" spans="1:14" ht="60.75" customHeight="1" x14ac:dyDescent="0.2">
      <c r="A37" s="16" t="s">
        <v>120</v>
      </c>
      <c r="B37" s="20" t="s">
        <v>121</v>
      </c>
      <c r="C37" s="16" t="s">
        <v>122</v>
      </c>
      <c r="D37" s="27">
        <v>2504</v>
      </c>
      <c r="E37" s="27">
        <v>2504</v>
      </c>
      <c r="F37" s="27">
        <v>2496</v>
      </c>
      <c r="G37" s="18">
        <v>24</v>
      </c>
      <c r="H37" s="18"/>
      <c r="I37" s="18">
        <v>104</v>
      </c>
      <c r="J37" s="18"/>
      <c r="K37" s="19" t="s">
        <v>123</v>
      </c>
      <c r="L37" s="18" t="s">
        <v>124</v>
      </c>
      <c r="M37" s="18"/>
      <c r="N37" s="1"/>
    </row>
    <row r="38" spans="1:14" ht="60.75" customHeight="1" x14ac:dyDescent="0.2">
      <c r="A38" s="16" t="s">
        <v>125</v>
      </c>
      <c r="B38" s="17" t="s">
        <v>126</v>
      </c>
      <c r="C38" s="16" t="s">
        <v>127</v>
      </c>
      <c r="D38" s="18">
        <v>4000</v>
      </c>
      <c r="E38" s="18">
        <v>4000</v>
      </c>
      <c r="F38" s="18">
        <v>4000</v>
      </c>
      <c r="G38" s="18">
        <v>80</v>
      </c>
      <c r="H38" s="18"/>
      <c r="I38" s="18" t="s">
        <v>128</v>
      </c>
      <c r="J38" s="18"/>
      <c r="K38" s="19" t="s">
        <v>129</v>
      </c>
      <c r="L38" s="18" t="s">
        <v>130</v>
      </c>
      <c r="M38" s="18"/>
      <c r="N38" s="1"/>
    </row>
    <row r="39" spans="1:14" ht="60.75" customHeight="1" x14ac:dyDescent="0.2">
      <c r="A39" s="16" t="s">
        <v>131</v>
      </c>
      <c r="B39" s="17" t="s">
        <v>132</v>
      </c>
      <c r="C39" s="16" t="s">
        <v>133</v>
      </c>
      <c r="D39" s="18">
        <v>300</v>
      </c>
      <c r="E39" s="18">
        <v>300</v>
      </c>
      <c r="F39" s="18">
        <v>300</v>
      </c>
      <c r="G39" s="18">
        <v>8</v>
      </c>
      <c r="H39" s="18"/>
      <c r="I39" s="18">
        <v>37</v>
      </c>
      <c r="J39" s="18"/>
      <c r="K39" s="19" t="s">
        <v>134</v>
      </c>
      <c r="L39" s="18" t="s">
        <v>135</v>
      </c>
      <c r="M39" s="18"/>
      <c r="N39" s="1"/>
    </row>
    <row r="40" spans="1:14" ht="60.75" customHeight="1" x14ac:dyDescent="0.2">
      <c r="A40" s="16" t="s">
        <v>136</v>
      </c>
      <c r="B40" s="20" t="s">
        <v>137</v>
      </c>
      <c r="C40" s="16" t="s">
        <v>138</v>
      </c>
      <c r="D40" s="18">
        <v>2016</v>
      </c>
      <c r="E40" s="18">
        <v>2016</v>
      </c>
      <c r="F40" s="18">
        <v>2016</v>
      </c>
      <c r="G40" s="18">
        <v>48</v>
      </c>
      <c r="H40" s="18"/>
      <c r="I40" s="18">
        <v>42</v>
      </c>
      <c r="J40" s="18"/>
      <c r="K40" s="19" t="s">
        <v>139</v>
      </c>
      <c r="L40" s="18" t="s">
        <v>48</v>
      </c>
      <c r="M40" s="18"/>
      <c r="N40" s="1"/>
    </row>
    <row r="41" spans="1:14" ht="60.75" customHeight="1" x14ac:dyDescent="0.2">
      <c r="A41" s="16" t="s">
        <v>140</v>
      </c>
      <c r="B41" s="17" t="s">
        <v>141</v>
      </c>
      <c r="C41" s="16" t="s">
        <v>142</v>
      </c>
      <c r="D41" s="27">
        <v>2000</v>
      </c>
      <c r="E41" s="27">
        <v>2000</v>
      </c>
      <c r="F41" s="27">
        <v>2423</v>
      </c>
      <c r="G41" s="18">
        <v>32</v>
      </c>
      <c r="H41" s="18"/>
      <c r="I41" s="18">
        <v>75</v>
      </c>
      <c r="J41" s="18"/>
      <c r="K41" s="19" t="s">
        <v>143</v>
      </c>
      <c r="L41" s="18" t="s">
        <v>144</v>
      </c>
      <c r="M41" s="18"/>
      <c r="N41" s="1"/>
    </row>
    <row r="42" spans="1:14" ht="60.75" customHeight="1" x14ac:dyDescent="0.2">
      <c r="A42" s="16" t="s">
        <v>145</v>
      </c>
      <c r="B42" s="20" t="s">
        <v>146</v>
      </c>
      <c r="C42" s="16" t="s">
        <v>147</v>
      </c>
      <c r="D42" s="18">
        <v>200</v>
      </c>
      <c r="E42" s="18">
        <v>200</v>
      </c>
      <c r="F42" s="18">
        <v>200</v>
      </c>
      <c r="G42" s="18">
        <v>8</v>
      </c>
      <c r="H42" s="18"/>
      <c r="I42" s="18">
        <v>25</v>
      </c>
      <c r="J42" s="18"/>
      <c r="K42" s="19" t="s">
        <v>148</v>
      </c>
      <c r="L42" s="18" t="s">
        <v>149</v>
      </c>
      <c r="M42" s="18"/>
      <c r="N42" s="1"/>
    </row>
    <row r="43" spans="1:14" ht="60.75" customHeight="1" x14ac:dyDescent="0.2">
      <c r="A43" s="16" t="s">
        <v>150</v>
      </c>
      <c r="B43" s="17" t="s">
        <v>151</v>
      </c>
      <c r="C43" s="16" t="s">
        <v>152</v>
      </c>
      <c r="D43" s="18">
        <v>1950</v>
      </c>
      <c r="E43" s="18">
        <v>1950</v>
      </c>
      <c r="F43" s="18">
        <v>1950</v>
      </c>
      <c r="G43" s="18">
        <v>15</v>
      </c>
      <c r="H43" s="18"/>
      <c r="I43" s="18" t="s">
        <v>153</v>
      </c>
      <c r="J43" s="18"/>
      <c r="K43" s="19" t="s">
        <v>154</v>
      </c>
      <c r="L43" s="18" t="s">
        <v>155</v>
      </c>
      <c r="M43" s="18"/>
      <c r="N43" s="1"/>
    </row>
    <row r="44" spans="1:14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2.75" x14ac:dyDescent="0.2">
      <c r="A45" s="10" t="s">
        <v>156</v>
      </c>
      <c r="B45" s="2" t="s">
        <v>157</v>
      </c>
      <c r="C45" s="2"/>
      <c r="D45" s="2"/>
      <c r="E45" s="10" t="s">
        <v>158</v>
      </c>
      <c r="F45" s="15" t="s">
        <v>159</v>
      </c>
      <c r="G45" s="15"/>
      <c r="H45" s="2"/>
      <c r="I45" s="3"/>
      <c r="J45" s="3"/>
      <c r="K45" s="3"/>
      <c r="L45" s="3"/>
      <c r="M45" s="3"/>
    </row>
    <row r="46" spans="1:14" ht="12.75" x14ac:dyDescent="0.2">
      <c r="A46" s="10" t="s">
        <v>160</v>
      </c>
      <c r="B46" s="2" t="s">
        <v>161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2.75" x14ac:dyDescent="0.2">
      <c r="A47" s="11" t="s">
        <v>197</v>
      </c>
      <c r="B47" s="12">
        <f>SUM(C51:C70,C71:C91)</f>
        <v>65.48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2.75" x14ac:dyDescent="0.2">
      <c r="A48" s="10" t="s">
        <v>198</v>
      </c>
      <c r="B48" s="13">
        <f>SUM(B51:B70,B71:B91)</f>
        <v>12028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75" x14ac:dyDescent="0.2">
      <c r="B49" s="12"/>
      <c r="I49" s="3"/>
      <c r="J49" s="3"/>
      <c r="K49" s="3"/>
      <c r="L49" s="3"/>
      <c r="M49" s="3"/>
    </row>
    <row r="50" spans="1:13" ht="12.75" x14ac:dyDescent="0.2">
      <c r="A50" s="6" t="s">
        <v>189</v>
      </c>
      <c r="B50" s="6" t="s">
        <v>194</v>
      </c>
      <c r="C50" s="6" t="s">
        <v>195</v>
      </c>
      <c r="D50" s="3"/>
      <c r="E50" s="6"/>
      <c r="F50" s="6"/>
      <c r="G50" s="6"/>
      <c r="H50" s="3"/>
      <c r="I50" s="3"/>
      <c r="J50" s="3"/>
      <c r="K50" s="3"/>
      <c r="L50" s="3"/>
      <c r="M50" s="3"/>
    </row>
    <row r="51" spans="1:13" ht="12.75" x14ac:dyDescent="0.2">
      <c r="A51" s="6">
        <v>1</v>
      </c>
      <c r="B51" s="6">
        <v>326</v>
      </c>
      <c r="C51" s="6">
        <v>1.59</v>
      </c>
      <c r="D51" s="3"/>
      <c r="I51" s="3"/>
      <c r="J51" s="3"/>
      <c r="K51" s="3"/>
      <c r="L51" s="3"/>
      <c r="M51" s="3"/>
    </row>
    <row r="52" spans="1:13" ht="12.75" x14ac:dyDescent="0.2">
      <c r="A52" s="6">
        <v>2</v>
      </c>
      <c r="B52" s="6">
        <v>326</v>
      </c>
      <c r="C52" s="6">
        <v>1.59</v>
      </c>
      <c r="D52" s="3"/>
      <c r="I52" s="3"/>
      <c r="J52" s="3"/>
      <c r="K52" s="3"/>
      <c r="L52" s="3"/>
      <c r="M52" s="3"/>
    </row>
    <row r="53" spans="1:13" ht="12.75" x14ac:dyDescent="0.2">
      <c r="A53" s="6">
        <v>3</v>
      </c>
      <c r="B53" s="6">
        <v>326</v>
      </c>
      <c r="C53" s="6">
        <v>1.59</v>
      </c>
      <c r="D53" s="3"/>
      <c r="I53" s="3"/>
      <c r="J53" s="3"/>
      <c r="K53" s="3"/>
      <c r="L53" s="3"/>
      <c r="M53" s="3"/>
    </row>
    <row r="54" spans="1:13" ht="12.75" x14ac:dyDescent="0.2">
      <c r="A54" s="6">
        <v>4</v>
      </c>
      <c r="B54" s="6">
        <v>326</v>
      </c>
      <c r="C54" s="6">
        <v>1.59</v>
      </c>
      <c r="D54" s="3"/>
      <c r="I54" s="3"/>
      <c r="J54" s="3"/>
      <c r="K54" s="3"/>
      <c r="L54" s="3"/>
      <c r="M54" s="3"/>
    </row>
    <row r="55" spans="1:13" ht="12.75" x14ac:dyDescent="0.2">
      <c r="A55" s="6">
        <v>5</v>
      </c>
      <c r="B55" s="6">
        <v>256</v>
      </c>
      <c r="C55" s="6">
        <v>1.6</v>
      </c>
      <c r="D55" s="3"/>
      <c r="I55" s="3"/>
      <c r="J55" s="3"/>
      <c r="K55" s="3"/>
      <c r="L55" s="3"/>
      <c r="M55" s="3"/>
    </row>
    <row r="56" spans="1:13" ht="12.75" x14ac:dyDescent="0.2">
      <c r="A56" s="6">
        <v>6</v>
      </c>
      <c r="B56" s="6">
        <v>256</v>
      </c>
      <c r="C56" s="6">
        <v>1.6</v>
      </c>
      <c r="D56" s="3"/>
      <c r="I56" s="3"/>
      <c r="J56" s="3"/>
      <c r="K56" s="3"/>
      <c r="L56" s="3"/>
      <c r="M56" s="3"/>
    </row>
    <row r="57" spans="1:13" ht="12.75" x14ac:dyDescent="0.2">
      <c r="A57" s="6">
        <v>7</v>
      </c>
      <c r="B57" s="6">
        <v>256</v>
      </c>
      <c r="C57" s="6">
        <v>1.6</v>
      </c>
      <c r="D57" s="3"/>
      <c r="I57" s="3"/>
      <c r="J57" s="3"/>
      <c r="K57" s="3"/>
      <c r="L57" s="3"/>
      <c r="M57" s="3"/>
    </row>
    <row r="58" spans="1:13" ht="12.75" x14ac:dyDescent="0.2">
      <c r="A58" s="6">
        <v>8</v>
      </c>
      <c r="B58" s="6">
        <v>256</v>
      </c>
      <c r="C58" s="6">
        <v>1.6</v>
      </c>
      <c r="D58" s="3"/>
      <c r="I58" s="3"/>
      <c r="J58" s="3"/>
      <c r="K58" s="3"/>
      <c r="L58" s="3"/>
      <c r="M58" s="3"/>
    </row>
    <row r="59" spans="1:13" ht="12.75" x14ac:dyDescent="0.2">
      <c r="A59" s="6">
        <v>9</v>
      </c>
      <c r="B59" s="6">
        <v>256</v>
      </c>
      <c r="C59" s="6">
        <v>1.6</v>
      </c>
      <c r="D59" s="3"/>
      <c r="I59" s="3"/>
      <c r="J59" s="3"/>
      <c r="K59" s="3"/>
      <c r="L59" s="3"/>
      <c r="M59" s="3"/>
    </row>
    <row r="60" spans="1:13" ht="12.75" x14ac:dyDescent="0.2">
      <c r="A60" s="6">
        <v>10</v>
      </c>
      <c r="B60" s="6">
        <v>256</v>
      </c>
      <c r="C60" s="6">
        <v>1.6</v>
      </c>
      <c r="D60" s="3"/>
      <c r="I60" s="3"/>
      <c r="J60" s="3"/>
      <c r="K60" s="3"/>
      <c r="L60" s="3"/>
      <c r="M60" s="3"/>
    </row>
    <row r="61" spans="1:13" ht="12.75" x14ac:dyDescent="0.2">
      <c r="A61" s="6">
        <v>11</v>
      </c>
      <c r="B61" s="6">
        <v>256</v>
      </c>
      <c r="C61" s="6">
        <v>1.6</v>
      </c>
      <c r="D61" s="3"/>
      <c r="I61" s="3"/>
      <c r="J61" s="3"/>
      <c r="K61" s="3"/>
      <c r="L61" s="3"/>
      <c r="M61" s="3"/>
    </row>
    <row r="62" spans="1:13" ht="12.75" x14ac:dyDescent="0.2">
      <c r="A62" s="6">
        <v>12</v>
      </c>
      <c r="B62" s="6">
        <v>256</v>
      </c>
      <c r="C62" s="6">
        <v>1.6</v>
      </c>
      <c r="D62" s="3"/>
      <c r="I62" s="3"/>
      <c r="J62" s="3"/>
      <c r="K62" s="3"/>
      <c r="L62" s="3"/>
      <c r="M62" s="3"/>
    </row>
    <row r="63" spans="1:13" ht="12.75" x14ac:dyDescent="0.2">
      <c r="A63" s="6">
        <v>13</v>
      </c>
      <c r="B63" s="6">
        <v>256</v>
      </c>
      <c r="C63" s="6">
        <v>1.6</v>
      </c>
      <c r="D63" s="3"/>
      <c r="I63" s="3"/>
      <c r="J63" s="3"/>
      <c r="K63" s="3"/>
      <c r="L63" s="3"/>
      <c r="M63" s="3"/>
    </row>
    <row r="64" spans="1:13" ht="12.75" x14ac:dyDescent="0.2">
      <c r="A64" s="6">
        <v>14</v>
      </c>
      <c r="B64" s="6">
        <v>256</v>
      </c>
      <c r="C64" s="6">
        <v>1.6</v>
      </c>
      <c r="D64" s="3"/>
      <c r="I64" s="3"/>
      <c r="J64" s="3"/>
      <c r="K64" s="3"/>
      <c r="L64" s="3"/>
      <c r="M64" s="3"/>
    </row>
    <row r="65" spans="1:13" ht="12.75" x14ac:dyDescent="0.2">
      <c r="A65" s="6">
        <v>15</v>
      </c>
      <c r="B65" s="6">
        <v>256</v>
      </c>
      <c r="C65" s="6">
        <v>1.6</v>
      </c>
      <c r="D65" s="3"/>
      <c r="I65" s="3"/>
      <c r="J65" s="3"/>
      <c r="K65" s="3"/>
      <c r="L65" s="3"/>
      <c r="M65" s="3"/>
    </row>
    <row r="66" spans="1:13" ht="12.75" x14ac:dyDescent="0.2">
      <c r="A66" s="6">
        <v>16</v>
      </c>
      <c r="B66" s="6">
        <v>256</v>
      </c>
      <c r="C66" s="6">
        <v>1.6</v>
      </c>
      <c r="D66" s="3"/>
      <c r="I66" s="3"/>
      <c r="J66" s="3"/>
      <c r="K66" s="3"/>
      <c r="L66" s="3"/>
      <c r="M66" s="3"/>
    </row>
    <row r="67" spans="1:13" ht="12.75" x14ac:dyDescent="0.2">
      <c r="A67" s="6">
        <v>17</v>
      </c>
      <c r="B67" s="6">
        <v>445</v>
      </c>
      <c r="C67" s="6">
        <v>2</v>
      </c>
      <c r="D67" s="3"/>
      <c r="I67" s="3"/>
      <c r="J67" s="3"/>
      <c r="K67" s="3"/>
      <c r="L67" s="3"/>
      <c r="M67" s="3"/>
    </row>
    <row r="68" spans="1:13" ht="12.75" x14ac:dyDescent="0.2">
      <c r="A68" s="6">
        <v>18</v>
      </c>
      <c r="B68" s="6">
        <v>318</v>
      </c>
      <c r="C68" s="6">
        <v>2.1800000000000002</v>
      </c>
      <c r="D68" s="3"/>
      <c r="I68" s="3"/>
      <c r="J68" s="3"/>
      <c r="K68" s="3"/>
      <c r="L68" s="3"/>
      <c r="M68" s="3"/>
    </row>
    <row r="69" spans="1:13" ht="12.75" x14ac:dyDescent="0.2">
      <c r="A69" s="6">
        <v>19</v>
      </c>
      <c r="B69" s="6">
        <v>508</v>
      </c>
      <c r="C69" s="6">
        <v>2.04</v>
      </c>
      <c r="D69" s="3"/>
      <c r="I69" s="3"/>
      <c r="J69" s="3"/>
      <c r="K69" s="3"/>
      <c r="L69" s="3"/>
      <c r="M69" s="3"/>
    </row>
    <row r="70" spans="1:13" ht="12.75" x14ac:dyDescent="0.2">
      <c r="A70" s="6">
        <v>20</v>
      </c>
      <c r="B70" s="6">
        <v>405</v>
      </c>
      <c r="C70" s="6">
        <v>2.04</v>
      </c>
      <c r="D70" s="3"/>
      <c r="I70" s="3"/>
      <c r="J70" s="3"/>
      <c r="K70" s="3"/>
      <c r="L70" s="3"/>
      <c r="M70" s="3"/>
    </row>
    <row r="71" spans="1:13" ht="12.75" x14ac:dyDescent="0.2">
      <c r="A71" s="6">
        <v>21</v>
      </c>
      <c r="B71" s="6">
        <v>348</v>
      </c>
      <c r="C71" s="6">
        <v>2.04</v>
      </c>
      <c r="D71" s="3"/>
      <c r="I71" s="3"/>
      <c r="J71" s="3"/>
      <c r="K71" s="3"/>
      <c r="L71" s="3"/>
      <c r="M71" s="3"/>
    </row>
    <row r="72" spans="1:13" ht="12.75" x14ac:dyDescent="0.2">
      <c r="A72" s="6">
        <v>22</v>
      </c>
      <c r="B72" s="6">
        <v>319</v>
      </c>
      <c r="C72" s="6">
        <v>2.04</v>
      </c>
      <c r="D72" s="3"/>
    </row>
    <row r="73" spans="1:13" ht="12.75" x14ac:dyDescent="0.2">
      <c r="A73" s="6">
        <v>23</v>
      </c>
      <c r="B73" s="6">
        <v>455</v>
      </c>
      <c r="C73" s="6">
        <v>2.04</v>
      </c>
      <c r="D73" s="3"/>
    </row>
    <row r="74" spans="1:13" ht="12.75" x14ac:dyDescent="0.2">
      <c r="A74" s="8">
        <v>24</v>
      </c>
      <c r="B74" s="8">
        <v>464</v>
      </c>
      <c r="C74" s="8">
        <v>1.89</v>
      </c>
      <c r="D74" s="9" t="s">
        <v>196</v>
      </c>
    </row>
    <row r="75" spans="1:13" ht="12.75" x14ac:dyDescent="0.2">
      <c r="A75" s="6">
        <v>25</v>
      </c>
      <c r="B75" s="6">
        <v>499</v>
      </c>
      <c r="C75" s="6">
        <v>2.04</v>
      </c>
      <c r="D75" s="3"/>
    </row>
    <row r="76" spans="1:13" ht="12.75" x14ac:dyDescent="0.2">
      <c r="A76" s="6">
        <v>26</v>
      </c>
      <c r="B76" s="6">
        <v>547</v>
      </c>
      <c r="C76" s="6">
        <v>1.94</v>
      </c>
      <c r="D76" s="3"/>
    </row>
    <row r="77" spans="1:13" ht="12.75" x14ac:dyDescent="0.2">
      <c r="A77" s="6">
        <v>27</v>
      </c>
      <c r="B77" s="6">
        <v>493</v>
      </c>
      <c r="C77" s="6">
        <v>2.04</v>
      </c>
      <c r="D77" s="3"/>
    </row>
    <row r="78" spans="1:13" ht="12.75" x14ac:dyDescent="0.2">
      <c r="A78" s="6">
        <v>28</v>
      </c>
      <c r="B78" s="6">
        <v>462</v>
      </c>
      <c r="C78" s="6">
        <v>2.02</v>
      </c>
      <c r="D78" s="3"/>
    </row>
    <row r="79" spans="1:13" ht="12.75" x14ac:dyDescent="0.2">
      <c r="A79" s="6">
        <v>29</v>
      </c>
      <c r="B79" s="6">
        <v>220</v>
      </c>
      <c r="C79" s="6">
        <v>1.1000000000000001</v>
      </c>
      <c r="D79" s="3"/>
    </row>
    <row r="80" spans="1:13" ht="12.75" x14ac:dyDescent="0.2">
      <c r="A80" s="6">
        <v>30</v>
      </c>
      <c r="B80" s="6">
        <v>225</v>
      </c>
      <c r="C80" s="6">
        <v>1.1000000000000001</v>
      </c>
      <c r="D80" s="3"/>
    </row>
    <row r="81" spans="1:4" ht="12.75" x14ac:dyDescent="0.2">
      <c r="A81" s="6">
        <v>31</v>
      </c>
      <c r="B81" s="6">
        <v>185</v>
      </c>
      <c r="C81" s="6">
        <v>1.1000000000000001</v>
      </c>
      <c r="D81" s="3"/>
    </row>
    <row r="82" spans="1:4" ht="12.75" x14ac:dyDescent="0.2">
      <c r="A82" s="6">
        <v>32</v>
      </c>
      <c r="B82" s="6">
        <v>220</v>
      </c>
      <c r="C82" s="6">
        <v>1.1000000000000001</v>
      </c>
      <c r="D82" s="3"/>
    </row>
    <row r="83" spans="1:4" ht="12.75" x14ac:dyDescent="0.2">
      <c r="A83" s="6">
        <v>33</v>
      </c>
      <c r="B83" s="6">
        <v>215</v>
      </c>
      <c r="C83" s="6">
        <v>1.1000000000000001</v>
      </c>
      <c r="D83" s="3"/>
    </row>
    <row r="84" spans="1:4" ht="12.75" x14ac:dyDescent="0.2">
      <c r="A84" s="6">
        <v>34</v>
      </c>
      <c r="B84" s="6">
        <v>284</v>
      </c>
      <c r="C84" s="6">
        <v>1.23</v>
      </c>
      <c r="D84" s="3"/>
    </row>
    <row r="85" spans="1:4" ht="12.75" x14ac:dyDescent="0.2">
      <c r="A85" s="6">
        <v>35</v>
      </c>
      <c r="B85" s="6">
        <v>214</v>
      </c>
      <c r="C85" s="6">
        <v>1.1000000000000001</v>
      </c>
      <c r="D85" s="3"/>
    </row>
    <row r="86" spans="1:4" ht="12.75" x14ac:dyDescent="0.2">
      <c r="A86" s="6">
        <v>36</v>
      </c>
      <c r="B86" s="6">
        <v>393</v>
      </c>
      <c r="C86" s="6">
        <v>2.04</v>
      </c>
      <c r="D86" s="3"/>
    </row>
    <row r="87" spans="1:4" ht="12.75" x14ac:dyDescent="0.2">
      <c r="A87" s="6">
        <v>37</v>
      </c>
      <c r="B87" s="6">
        <v>83</v>
      </c>
      <c r="C87" s="6">
        <v>1.1000000000000001</v>
      </c>
      <c r="D87" s="3"/>
    </row>
    <row r="88" spans="1:4" ht="12.75" x14ac:dyDescent="0.2">
      <c r="A88" s="6">
        <v>38</v>
      </c>
      <c r="B88" s="6">
        <v>82</v>
      </c>
      <c r="C88" s="6">
        <v>1.1000000000000001</v>
      </c>
      <c r="D88" s="3"/>
    </row>
    <row r="89" spans="1:4" ht="12.75" x14ac:dyDescent="0.2">
      <c r="A89" s="6">
        <v>39</v>
      </c>
      <c r="B89" s="7">
        <v>82</v>
      </c>
      <c r="C89" s="7">
        <v>1.1000000000000001</v>
      </c>
      <c r="D89" s="3"/>
    </row>
    <row r="90" spans="1:4" ht="12.75" x14ac:dyDescent="0.2">
      <c r="A90" s="8">
        <v>40</v>
      </c>
      <c r="B90" s="8">
        <v>151</v>
      </c>
      <c r="C90" s="8">
        <v>1.89</v>
      </c>
      <c r="D90" s="9" t="s">
        <v>196</v>
      </c>
    </row>
    <row r="91" spans="1:4" ht="12.75" x14ac:dyDescent="0.2">
      <c r="A91" s="8">
        <v>41</v>
      </c>
      <c r="B91" s="8">
        <v>35</v>
      </c>
      <c r="C91" s="8">
        <v>0.55000000000000004</v>
      </c>
      <c r="D91" s="9" t="s">
        <v>196</v>
      </c>
    </row>
  </sheetData>
  <mergeCells count="10">
    <mergeCell ref="F45:G45"/>
    <mergeCell ref="D11:D22"/>
    <mergeCell ref="E11:E22"/>
    <mergeCell ref="F11:F22"/>
    <mergeCell ref="G11:G22"/>
    <mergeCell ref="I11:I22"/>
    <mergeCell ref="H11:H22"/>
    <mergeCell ref="C11:C22"/>
    <mergeCell ref="A11:A22"/>
    <mergeCell ref="C4:D4"/>
  </mergeCells>
  <phoneticPr fontId="2" type="noConversion"/>
  <pageMargins left="0" right="0" top="0" bottom="0" header="0" footer="0"/>
  <pageSetup paperSize="8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Picking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Export Warehouse</cp:lastModifiedBy>
  <cp:lastPrinted>2026-08-16T22:17:32Z</cp:lastPrinted>
  <dcterms:created xsi:type="dcterms:W3CDTF">2026-08-16T20:57:11Z</dcterms:created>
  <dcterms:modified xsi:type="dcterms:W3CDTF">2026-08-16T22:48:13Z</dcterms:modified>
  <cp:category/>
</cp:coreProperties>
</file>