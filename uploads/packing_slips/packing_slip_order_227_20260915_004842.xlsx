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utwards\Downloads\"/>
    </mc:Choice>
  </mc:AlternateContent>
  <xr:revisionPtr revIDLastSave="0" documentId="8_{B590F4E4-F98D-40C4-AAB8-94B7E13F89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cking Lis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B20" i="1"/>
  <c r="A18" i="1"/>
  <c r="A17" i="1"/>
  <c r="A16" i="1"/>
  <c r="A15" i="1"/>
  <c r="A10" i="1"/>
  <c r="A8" i="1"/>
  <c r="A7" i="1"/>
  <c r="A6" i="1"/>
  <c r="A5" i="1"/>
  <c r="A4" i="1"/>
  <c r="A3" i="1"/>
  <c r="A1" i="1"/>
  <c r="H44" i="1"/>
  <c r="H43" i="1"/>
</calcChain>
</file>

<file path=xl/sharedStrings.xml><?xml version="1.0" encoding="utf-8"?>
<sst xmlns="http://schemas.openxmlformats.org/spreadsheetml/2006/main" count="236" uniqueCount="170">
  <si>
    <t>QTY SUPPLIED</t>
  </si>
  <si>
    <t>GD2111</t>
  </si>
  <si>
    <t>Goodness Water Gel Hydrating Cream 60g</t>
  </si>
  <si>
    <t>GD2101</t>
  </si>
  <si>
    <t>66 12/2028</t>
  </si>
  <si>
    <t>Goodness every day cream cleanser 150ml</t>
  </si>
  <si>
    <t>43-52</t>
  </si>
  <si>
    <t>GD2414</t>
  </si>
  <si>
    <t>Goodness Caramel Cloud Body Lotion 235 ml - FG</t>
  </si>
  <si>
    <t>54-71
72-176
177-178</t>
  </si>
  <si>
    <t>GD2117</t>
  </si>
  <si>
    <t>53 07/2029
33 09/2028</t>
  </si>
  <si>
    <t>Goodness Clear The Way Balancing Clay Mask 50g</t>
  </si>
  <si>
    <t>13
8</t>
  </si>
  <si>
    <t>179-191
192-199</t>
  </si>
  <si>
    <t>GD2105</t>
  </si>
  <si>
    <t>04008426405 08/2029</t>
  </si>
  <si>
    <t>Goodness Be Fresh Foaming Cleanser 150ml</t>
  </si>
  <si>
    <t>200-247</t>
  </si>
  <si>
    <t>GD2106</t>
  </si>
  <si>
    <t>Goodness Omega Star Facial Oil 30ml</t>
  </si>
  <si>
    <t>GD2110</t>
  </si>
  <si>
    <t>26306126410 06/2029
06708026110 08/2029</t>
  </si>
  <si>
    <t>Goodness Every Evening Night Cream 60g</t>
  </si>
  <si>
    <t>18
24</t>
  </si>
  <si>
    <t>249-266
267-290</t>
  </si>
  <si>
    <t>GD2108</t>
  </si>
  <si>
    <t>6F2 06/2029
6H3 08/2029</t>
  </si>
  <si>
    <t>Goodness Be Cool Mist Toner 140ml</t>
  </si>
  <si>
    <t>5
43</t>
  </si>
  <si>
    <t>291-295
296-338</t>
  </si>
  <si>
    <t>GD2103</t>
  </si>
  <si>
    <t>Goodness Every Morning Moisturiser 60g</t>
  </si>
  <si>
    <t>GD2109</t>
  </si>
  <si>
    <t>1408262109 09/2028
0909262109 05/2028
1109262109 09/2027</t>
  </si>
  <si>
    <t>Goodness - On-the-Go Skincare Kit - FG</t>
  </si>
  <si>
    <t>35
28
44</t>
  </si>
  <si>
    <t>342-376
624-651
724-767</t>
  </si>
  <si>
    <t>NS2005</t>
  </si>
  <si>
    <t>08201626009 01/2031
05302426109 02/2031</t>
  </si>
  <si>
    <t>Lanocreme Lanoil with Vitamin E 50ml-FG</t>
  </si>
  <si>
    <t>25
25</t>
  </si>
  <si>
    <t>377-401
402-426</t>
  </si>
  <si>
    <t>MH225</t>
  </si>
  <si>
    <t>Lanocreme Manuka Honey Sheet Face Mask 20g*5pack</t>
  </si>
  <si>
    <t>NS2009</t>
  </si>
  <si>
    <t>31207426209 07/2029</t>
  </si>
  <si>
    <t>Lanocreme Face Cream with Active Manuka Honey 100g (Orange)</t>
  </si>
  <si>
    <t>441-448</t>
  </si>
  <si>
    <t>NS2010</t>
  </si>
  <si>
    <t>10306426110 06/2029</t>
  </si>
  <si>
    <t>Lanocreme Face Cream with Collagen 100g (Yellow)</t>
  </si>
  <si>
    <t>449-456</t>
  </si>
  <si>
    <t>GC01/V2</t>
  </si>
  <si>
    <t>08110525206 10/2028
17102026719 02/2029</t>
  </si>
  <si>
    <t>Lanocreme Vit C &amp; Collagen Eye Cream 30g</t>
  </si>
  <si>
    <t>1
3</t>
  </si>
  <si>
    <t>457
458-460</t>
  </si>
  <si>
    <t>GC02/V2</t>
  </si>
  <si>
    <t>01407426018 07/2029</t>
  </si>
  <si>
    <t>Lanocreme Vit C &amp; Collagen Night Cream 50g</t>
  </si>
  <si>
    <t>461-470</t>
  </si>
  <si>
    <t>GC03/V2</t>
  </si>
  <si>
    <t>14108426317 08/2029</t>
  </si>
  <si>
    <t>Lanocreme Vit C &amp; Collagen Day Cream 50g</t>
  </si>
  <si>
    <t>471-480</t>
  </si>
  <si>
    <t>GC07</t>
  </si>
  <si>
    <t>Lanocrme Vit C &amp; Collagen Face Serum 95ml - FG</t>
  </si>
  <si>
    <t>NS2046</t>
  </si>
  <si>
    <t>NL 04/2029
PD 06/2029</t>
  </si>
  <si>
    <t>Lanocreme Vitamin C &amp; Collagen Sheet Face Mask 20g*5</t>
  </si>
  <si>
    <t>13
1</t>
  </si>
  <si>
    <t>493-505
506</t>
  </si>
  <si>
    <t>BN501</t>
  </si>
  <si>
    <t>27008526315 08/2029</t>
  </si>
  <si>
    <t>BN Manuka Honey+Collagen+Probiotics Light Day Cream 185g</t>
  </si>
  <si>
    <t>507-546</t>
  </si>
  <si>
    <t>JS1803</t>
  </si>
  <si>
    <t>Trader Joe's Supreme Hydrating Eye Cream 15g</t>
  </si>
  <si>
    <t>BN97</t>
  </si>
  <si>
    <t>RL 08/2029</t>
  </si>
  <si>
    <t>BN RETINOL+COLLAGEN INSTANT LIFT SHEET MASK 20G</t>
  </si>
  <si>
    <t>AMBN312</t>
  </si>
  <si>
    <t>BN Vitamin C Caffeine Eye Mask 5X5g pack</t>
  </si>
  <si>
    <t>AMGD2104</t>
  </si>
  <si>
    <t>25408126304 08/2029</t>
  </si>
  <si>
    <t>Goodness Tone Up Eye Cream 30g</t>
  </si>
  <si>
    <t>652-665</t>
  </si>
  <si>
    <t>PROMOGD16</t>
  </si>
  <si>
    <t>Goodness Ambassador Box</t>
  </si>
  <si>
    <t>AMBN315</t>
  </si>
  <si>
    <t>BN Brightening Vitamin C &amp; Collagen Night Cream 60g</t>
  </si>
  <si>
    <t>GD2112</t>
  </si>
  <si>
    <t>Goodness 3-in-1 Jelly Oil Cleanser 150ml</t>
  </si>
  <si>
    <t>CODE</t>
  </si>
  <si>
    <t>DESCRIPTION</t>
  </si>
  <si>
    <t>SIZE</t>
  </si>
  <si>
    <t>BATCH NO.</t>
  </si>
  <si>
    <t>EXPIRY DATE</t>
  </si>
  <si>
    <t>NO. OF CTNS</t>
  </si>
  <si>
    <t>QUANTITY/CTN</t>
  </si>
  <si>
    <t>Ctn #'s</t>
  </si>
  <si>
    <t>Pallet #'s</t>
  </si>
  <si>
    <t>Packed By</t>
  </si>
  <si>
    <t>Checked By</t>
  </si>
  <si>
    <t xml:space="preserve"> GTIN-14UPC Barcodes</t>
  </si>
  <si>
    <t>Comment</t>
  </si>
  <si>
    <t>CUBE</t>
  </si>
  <si>
    <t>WEIGHT</t>
  </si>
  <si>
    <t>Weight</t>
  </si>
  <si>
    <t>Cubes</t>
  </si>
  <si>
    <t>48</t>
  </si>
  <si>
    <t>16</t>
  </si>
  <si>
    <t>96</t>
  </si>
  <si>
    <t>42</t>
  </si>
  <si>
    <t>80</t>
  </si>
  <si>
    <t>15</t>
  </si>
  <si>
    <t>50</t>
  </si>
  <si>
    <t>36</t>
  </si>
  <si>
    <t>126</t>
  </si>
  <si>
    <t>12</t>
  </si>
  <si>
    <t>NO. OF PLTS</t>
  </si>
  <si>
    <t>5</t>
  </si>
  <si>
    <t>QTY ORDER</t>
  </si>
  <si>
    <t>24</t>
  </si>
  <si>
    <t>1</t>
  </si>
  <si>
    <t>54</t>
  </si>
  <si>
    <t>7</t>
  </si>
  <si>
    <t>125</t>
  </si>
  <si>
    <t>1-42</t>
  </si>
  <si>
    <t>20507026315 07/2029</t>
  </si>
  <si>
    <t>15407226220 07/2029</t>
  </si>
  <si>
    <t>1
24</t>
  </si>
  <si>
    <t>248
600-623</t>
  </si>
  <si>
    <t>6G2 07/2029
6I1 09/2029</t>
  </si>
  <si>
    <t>14</t>
  </si>
  <si>
    <t>427-440</t>
  </si>
  <si>
    <t>PF 06/2029</t>
  </si>
  <si>
    <t>28205426203 05/2029</t>
  </si>
  <si>
    <t>481-492</t>
  </si>
  <si>
    <t>88 08/2030</t>
  </si>
  <si>
    <t>547- 551</t>
  </si>
  <si>
    <t>RX 08/2029</t>
  </si>
  <si>
    <t>47</t>
  </si>
  <si>
    <t>553-599</t>
  </si>
  <si>
    <t>28</t>
  </si>
  <si>
    <t>10092616 09/2027</t>
  </si>
  <si>
    <t>666-694</t>
  </si>
  <si>
    <t>695, 722
696-721, 723</t>
  </si>
  <si>
    <t>2
27</t>
  </si>
  <si>
    <t>16103126612 03/2029
10210524112 10/2027</t>
  </si>
  <si>
    <r>
      <rPr>
        <b/>
        <sz val="12"/>
        <color rgb="FFFF0000"/>
        <rFont val="Calibri"/>
      </rPr>
      <t>NO STOCK</t>
    </r>
  </si>
  <si>
    <t>AT</t>
  </si>
  <si>
    <t>GT, ED</t>
  </si>
  <si>
    <t>WE GOT THE STOCK BUT NOT FIT NOW IN THE CONTAINER</t>
  </si>
  <si>
    <t>CTN# 722 IS 27u AND #723 IS 36u; PART BOX</t>
  </si>
  <si>
    <t>This color means the qty we supply is not the same qty on the actual order</t>
  </si>
  <si>
    <t>NO STOCK</t>
  </si>
  <si>
    <t>No Stock supplied</t>
  </si>
  <si>
    <t>LANOCORP NEW ZEALAND LTD</t>
  </si>
  <si>
    <t>PO BOX 86051</t>
  </si>
  <si>
    <t>2 HYNDS DRIVE, ROLLESTON</t>
  </si>
  <si>
    <t>CHRISTCHURCH</t>
  </si>
  <si>
    <t>NEW ZEALAND</t>
  </si>
  <si>
    <t>TEL : +64 3 349 5755</t>
  </si>
  <si>
    <t>Chatsworth Distribution</t>
  </si>
  <si>
    <t>21810 Nordhoff St</t>
  </si>
  <si>
    <t>Chatsworth</t>
  </si>
  <si>
    <t>CA 91311</t>
  </si>
  <si>
    <t>PACKING LIST: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</si>
</sst>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9]d\ mmmm\ yyyy;@"/>
  </numFmts>
  <fonts count="22">
    <font>
      <sz val="9"/>
      <color rgb="FF000000"/>
      <name val="Calibri"/>
    </font>
    <font>
      <b/>
      <sz val="9"/>
      <color rgb="FF000000"/>
      <name val="Calibri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rdArial"/>
    </font>
    <font>
      <b/>
      <sz val="12"/>
      <color rgb="FFFF0000"/>
      <name val="Calibri"/>
      <family val="2"/>
      <scheme val="minor"/>
    </font>
    <font>
      <sz val="10"/>
      <name val="CardArial"/>
      <family val="2"/>
    </font>
    <font>
      <sz val="11"/>
      <name val="CardArial"/>
      <family val="2"/>
    </font>
    <font>
      <u/>
      <sz val="9"/>
      <color theme="10"/>
      <name val="Calibri"/>
    </font>
    <font>
      <b/>
      <sz val="12"/>
      <name val="CardArial"/>
    </font>
    <font>
      <sz val="12"/>
      <name val="CardArial"/>
      <family val="2"/>
    </font>
    <font>
      <sz val="12"/>
      <color rgb="FF000000"/>
      <name val="Calibri"/>
    </font>
    <font>
      <b/>
      <sz val="12"/>
      <color rgb="FFFF0000"/>
      <name val="Calibri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name val="Calibri"/>
      <family val="2"/>
      <scheme val="minor"/>
    </font>
    <font>
      <b/>
      <sz val="10"/>
      <name val="CardArial"/>
      <family val="2"/>
    </font>
    <font>
      <sz val="10"/>
      <color rgb="FFFF0000"/>
      <name val="CardArial"/>
      <family val="2"/>
    </font>
    <font>
      <sz val="9"/>
      <name val="CardArial"/>
      <family val="2"/>
    </font>
    <font>
      <u/>
      <sz val="12"/>
      <name val="Calibri"/>
      <family val="2"/>
      <scheme val="minor"/>
    </font>
    <font>
      <u/>
      <sz val="14"/>
      <name val="CardArial"/>
    </font>
    <font>
      <b/>
      <sz val="14"/>
      <name val="CardArial"/>
    </font>
  </fonts>
  <fills count="8">
    <fill>
      <patternFill patternType="none"/>
    </fill>
    <fill>
      <patternFill patternType="gray125"/>
    </fill>
    <fill>
      <patternFill patternType="solid">
        <fgColor rgb="FFF3EFA7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3EFA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2" fillId="0" borderId="0"/>
  </cellStyleXfs>
  <cellXfs count="7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/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5" fillId="4" borderId="1" xfId="1" applyFont="1" applyFill="1" applyBorder="1" applyAlignment="1">
      <alignment horizontal="center"/>
    </xf>
    <xf numFmtId="0" fontId="6" fillId="0" borderId="0" xfId="1" applyFont="1"/>
    <xf numFmtId="0" fontId="6" fillId="4" borderId="0" xfId="1" applyFont="1" applyFill="1"/>
    <xf numFmtId="2" fontId="7" fillId="0" borderId="0" xfId="1" applyNumberFormat="1" applyFont="1" applyAlignment="1">
      <alignment vertical="center"/>
    </xf>
    <xf numFmtId="0" fontId="9" fillId="3" borderId="1" xfId="1" applyFont="1" applyFill="1" applyBorder="1" applyAlignment="1">
      <alignment horizontal="center"/>
    </xf>
    <xf numFmtId="0" fontId="10" fillId="0" borderId="0" xfId="1" applyFont="1"/>
    <xf numFmtId="0" fontId="10" fillId="4" borderId="0" xfId="1" applyFont="1" applyFill="1"/>
    <xf numFmtId="2" fontId="10" fillId="0" borderId="0" xfId="1" applyNumberFormat="1" applyFont="1" applyAlignment="1">
      <alignment vertical="center"/>
    </xf>
    <xf numFmtId="0" fontId="10" fillId="0" borderId="1" xfId="1" applyFont="1" applyBorder="1"/>
    <xf numFmtId="49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/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0" xfId="0" applyNumberFormat="1" applyFont="1"/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left" vertical="center"/>
    </xf>
    <xf numFmtId="49" fontId="11" fillId="5" borderId="1" xfId="0" applyNumberFormat="1" applyFont="1" applyFill="1" applyBorder="1"/>
    <xf numFmtId="49" fontId="11" fillId="5" borderId="1" xfId="0" applyNumberFormat="1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" fillId="7" borderId="0" xfId="0" applyNumberFormat="1" applyFont="1" applyFill="1"/>
    <xf numFmtId="49" fontId="12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vertical="center"/>
    </xf>
    <xf numFmtId="14" fontId="15" fillId="0" borderId="0" xfId="0" applyNumberFormat="1" applyFont="1" applyAlignment="1">
      <alignment horizontal="left"/>
    </xf>
    <xf numFmtId="0" fontId="3" fillId="0" borderId="0" xfId="0" applyFont="1" applyAlignment="1">
      <alignment horizontal="left" indent="1"/>
    </xf>
    <xf numFmtId="0" fontId="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indent="1"/>
    </xf>
    <xf numFmtId="0" fontId="10" fillId="0" borderId="0" xfId="1" applyFont="1" applyAlignment="1">
      <alignment horizontal="right"/>
    </xf>
    <xf numFmtId="0" fontId="17" fillId="0" borderId="0" xfId="0" applyFont="1"/>
    <xf numFmtId="0" fontId="6" fillId="4" borderId="0" xfId="0" applyFont="1" applyFill="1"/>
    <xf numFmtId="2" fontId="7" fillId="0" borderId="0" xfId="0" applyNumberFormat="1" applyFont="1" applyAlignment="1">
      <alignment vertical="center"/>
    </xf>
    <xf numFmtId="0" fontId="15" fillId="0" borderId="0" xfId="0" applyFont="1"/>
    <xf numFmtId="0" fontId="10" fillId="0" borderId="0" xfId="1" applyFont="1" applyAlignment="1">
      <alignment horizontal="right"/>
    </xf>
    <xf numFmtId="0" fontId="15" fillId="0" borderId="0" xfId="1" applyFont="1"/>
    <xf numFmtId="0" fontId="15" fillId="0" borderId="0" xfId="1" applyFont="1" applyAlignment="1">
      <alignment horizontal="left" indent="1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 indent="1"/>
    </xf>
    <xf numFmtId="0" fontId="18" fillId="0" borderId="0" xfId="1" applyFont="1" applyAlignment="1">
      <alignment horizontal="right"/>
    </xf>
    <xf numFmtId="0" fontId="17" fillId="0" borderId="0" xfId="1" applyFont="1"/>
    <xf numFmtId="164" fontId="19" fillId="0" borderId="0" xfId="3" applyNumberFormat="1" applyFont="1" applyAlignment="1">
      <alignment horizontal="left"/>
    </xf>
    <xf numFmtId="164" fontId="20" fillId="0" borderId="0" xfId="3" applyNumberFormat="1" applyFont="1" applyAlignment="1">
      <alignment horizontal="center"/>
    </xf>
    <xf numFmtId="164" fontId="20" fillId="0" borderId="0" xfId="3" applyNumberFormat="1" applyFont="1" applyAlignment="1">
      <alignment horizontal="left"/>
    </xf>
    <xf numFmtId="0" fontId="6" fillId="0" borderId="0" xfId="1" applyFont="1" applyAlignment="1">
      <alignment horizontal="right"/>
    </xf>
    <xf numFmtId="0" fontId="15" fillId="0" borderId="2" xfId="1" applyFont="1" applyBorder="1" applyAlignment="1">
      <alignment horizontal="left"/>
    </xf>
    <xf numFmtId="0" fontId="15" fillId="0" borderId="2" xfId="1" applyFont="1" applyBorder="1"/>
    <xf numFmtId="0" fontId="6" fillId="0" borderId="2" xfId="1" applyFont="1" applyBorder="1"/>
    <xf numFmtId="0" fontId="6" fillId="0" borderId="2" xfId="1" applyFont="1" applyBorder="1" applyAlignment="1">
      <alignment horizontal="center"/>
    </xf>
    <xf numFmtId="0" fontId="6" fillId="0" borderId="2" xfId="1" applyFont="1" applyBorder="1" applyAlignment="1">
      <alignment horizontal="right"/>
    </xf>
    <xf numFmtId="0" fontId="17" fillId="0" borderId="2" xfId="1" applyFont="1" applyBorder="1"/>
    <xf numFmtId="0" fontId="6" fillId="4" borderId="2" xfId="1" applyFont="1" applyFill="1" applyBorder="1"/>
    <xf numFmtId="2" fontId="7" fillId="0" borderId="2" xfId="1" applyNumberFormat="1" applyFont="1" applyBorder="1" applyAlignment="1">
      <alignment vertical="center"/>
    </xf>
    <xf numFmtId="0" fontId="15" fillId="0" borderId="0" xfId="1" applyFont="1" applyAlignment="1">
      <alignment horizontal="left"/>
    </xf>
    <xf numFmtId="0" fontId="15" fillId="0" borderId="0" xfId="2" applyFont="1" applyAlignment="1" applyProtection="1">
      <alignment vertical="center"/>
    </xf>
    <xf numFmtId="0" fontId="6" fillId="0" borderId="0" xfId="1" applyFont="1" applyAlignment="1">
      <alignment horizontal="right"/>
    </xf>
    <xf numFmtId="0" fontId="4" fillId="0" borderId="0" xfId="1" applyFont="1"/>
    <xf numFmtId="0" fontId="4" fillId="0" borderId="0" xfId="1" applyFont="1" applyAlignment="1">
      <alignment horizontal="center"/>
    </xf>
    <xf numFmtId="0" fontId="21" fillId="0" borderId="0" xfId="1" applyFont="1"/>
    <xf numFmtId="0" fontId="21" fillId="0" borderId="0" xfId="1" applyFont="1" applyAlignment="1">
      <alignment horizontal="right"/>
    </xf>
    <xf numFmtId="0" fontId="21" fillId="0" borderId="0" xfId="1" applyFont="1" applyAlignment="1">
      <alignment horizontal="left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49" fontId="11" fillId="5" borderId="3" xfId="0" applyNumberFormat="1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_PLIST" xfId="3" xr:uid="{06DA7306-34D0-46D2-96B6-0F5C41C07177}"/>
    <cellStyle name="Normal_Sheet1" xfId="1" xr:uid="{F8988C6F-2B00-4849-86A6-FBDDD4C66B44}"/>
  </cellStyles>
  <dxfs count="0"/>
  <tableStyles count="0" defaultTableStyle="TableStyleMedium9"/>
  <colors>
    <mruColors>
      <color rgb="FFF3EFA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LANOCORP%20PACIFIC%20LTD\Export\USA\LANOCORP%20USA%20INC\E.B.G\Chatsworth%202026%20Dispatches\260916US\260916US.xlsx" TargetMode="External"/><Relationship Id="rId1" Type="http://schemas.openxmlformats.org/officeDocument/2006/relationships/externalLinkPath" Target="file:///F:\LANOCORP%20PACIFIC%20LTD\Export\USA\LANOCORP%20USA%20INC\E.B.G\Chatsworth%202026%20Dispatches\260916US\260916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 Inv to USA "/>
      <sheetName val="PL Warehouse "/>
      <sheetName val="Details "/>
    </sheetNames>
    <sheetDataSet>
      <sheetData sheetId="0"/>
      <sheetData sheetId="1"/>
      <sheetData sheetId="2">
        <row r="1">
          <cell r="B1">
            <v>46281</v>
          </cell>
        </row>
        <row r="2">
          <cell r="A2"/>
          <cell r="B2" t="str">
            <v>20 GP</v>
          </cell>
        </row>
        <row r="19">
          <cell r="A19"/>
          <cell r="B19"/>
        </row>
        <row r="20">
          <cell r="B20" t="str">
            <v>DHL</v>
          </cell>
        </row>
        <row r="21">
          <cell r="B21" t="str">
            <v>LANOCORP USA INC</v>
          </cell>
        </row>
        <row r="22">
          <cell r="B22" t="str">
            <v xml:space="preserve">100 3rd Street South       </v>
          </cell>
        </row>
        <row r="23">
          <cell r="B23" t="str">
            <v>Suite #100</v>
          </cell>
        </row>
        <row r="25">
          <cell r="B25" t="str">
            <v>USA</v>
          </cell>
        </row>
        <row r="26">
          <cell r="A26"/>
        </row>
        <row r="30">
          <cell r="B30" t="str">
            <v>Chatsworth</v>
          </cell>
        </row>
        <row r="31">
          <cell r="B31" t="str">
            <v>CA 91311</v>
          </cell>
        </row>
        <row r="32">
          <cell r="B32" t="str">
            <v>USA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3"/>
  <sheetViews>
    <sheetView tabSelected="1" topLeftCell="A4" workbookViewId="0">
      <selection activeCell="C15" sqref="C15"/>
    </sheetView>
  </sheetViews>
  <sheetFormatPr defaultRowHeight="12"/>
  <cols>
    <col min="1" max="1" width="32.5" style="1" bestFit="1" customWidth="1"/>
    <col min="2" max="2" width="74.6640625" style="1" bestFit="1" customWidth="1"/>
    <col min="3" max="3" width="33.83203125" style="1" customWidth="1"/>
    <col min="4" max="4" width="20.33203125" style="1" bestFit="1" customWidth="1"/>
    <col min="5" max="5" width="15.83203125" style="1" bestFit="1" customWidth="1"/>
    <col min="6" max="6" width="16.5" style="1" bestFit="1" customWidth="1"/>
    <col min="7" max="7" width="17.5" style="1" bestFit="1" customWidth="1"/>
    <col min="8" max="8" width="18.83203125" style="1" bestFit="1" customWidth="1"/>
    <col min="9" max="9" width="18.83203125" style="1" customWidth="1"/>
    <col min="10" max="10" width="18.83203125" style="1" bestFit="1" customWidth="1"/>
    <col min="11" max="11" width="15.33203125" style="1" customWidth="1"/>
    <col min="12" max="12" width="20" style="1" customWidth="1"/>
    <col min="13" max="14" width="14.33203125" style="1" bestFit="1" customWidth="1"/>
    <col min="15" max="15" width="32" style="1" hidden="1" customWidth="1"/>
    <col min="16" max="16" width="41.1640625" style="1" customWidth="1"/>
    <col min="17" max="17" width="9.33203125" style="1"/>
    <col min="18" max="23" width="0" style="1" hidden="1" customWidth="1"/>
    <col min="24" max="16384" width="9.33203125" style="1"/>
  </cols>
  <sheetData>
    <row r="1" spans="1:21" s="37" customFormat="1" ht="24.95" customHeight="1">
      <c r="A1" s="35" t="e">
        <f>'[1]Details '!#REF!</f>
        <v>#REF!</v>
      </c>
      <c r="B1" s="36"/>
      <c r="D1" s="38"/>
      <c r="E1" s="39"/>
      <c r="F1" s="39"/>
      <c r="G1" s="40"/>
      <c r="H1" s="40" t="s">
        <v>159</v>
      </c>
      <c r="N1" s="41"/>
      <c r="Q1" s="42"/>
      <c r="S1" s="42"/>
      <c r="T1" s="43"/>
      <c r="U1" s="43"/>
    </row>
    <row r="2" spans="1:21" s="37" customFormat="1" ht="24.95" customHeight="1">
      <c r="A2" s="44"/>
      <c r="B2" s="36"/>
      <c r="D2" s="38"/>
      <c r="E2" s="39"/>
      <c r="F2" s="39"/>
      <c r="G2" s="45" t="s">
        <v>160</v>
      </c>
      <c r="H2" s="45"/>
      <c r="N2" s="41"/>
      <c r="Q2" s="42"/>
      <c r="S2" s="42"/>
      <c r="T2" s="43"/>
      <c r="U2" s="43"/>
    </row>
    <row r="3" spans="1:21" s="37" customFormat="1" ht="24.95" customHeight="1">
      <c r="A3" s="44">
        <f>'[1]Details '!A19</f>
        <v>0</v>
      </c>
      <c r="B3" s="36"/>
      <c r="D3" s="38"/>
      <c r="E3" s="39"/>
      <c r="F3" s="39"/>
      <c r="G3" s="40"/>
      <c r="H3" s="40" t="s">
        <v>161</v>
      </c>
      <c r="N3" s="41"/>
      <c r="Q3" s="42"/>
      <c r="S3" s="42"/>
      <c r="T3" s="43"/>
      <c r="U3" s="43"/>
    </row>
    <row r="4" spans="1:21" s="37" customFormat="1" ht="24.95" customHeight="1">
      <c r="A4" s="44">
        <f>'[1]Details '!B19</f>
        <v>0</v>
      </c>
      <c r="B4" s="36"/>
      <c r="D4" s="38"/>
      <c r="E4" s="39"/>
      <c r="F4" s="39"/>
      <c r="G4" s="40"/>
      <c r="H4" s="40" t="s">
        <v>162</v>
      </c>
      <c r="N4" s="41"/>
      <c r="Q4" s="42"/>
      <c r="S4" s="42"/>
      <c r="T4" s="43"/>
      <c r="U4" s="43"/>
    </row>
    <row r="5" spans="1:21" s="37" customFormat="1" ht="24.95" customHeight="1">
      <c r="A5" s="44" t="str">
        <f>'[1]Details '!B20</f>
        <v>DHL</v>
      </c>
      <c r="B5" s="36"/>
      <c r="D5" s="38"/>
      <c r="E5" s="39"/>
      <c r="F5" s="39"/>
      <c r="G5" s="40"/>
      <c r="H5" s="40" t="s">
        <v>163</v>
      </c>
      <c r="N5" s="41"/>
      <c r="Q5" s="42"/>
      <c r="S5" s="42"/>
      <c r="T5" s="43"/>
      <c r="U5" s="43"/>
    </row>
    <row r="6" spans="1:21" s="37" customFormat="1" ht="24.95" customHeight="1">
      <c r="A6" s="44" t="str">
        <f>'[1]Details '!B21</f>
        <v>LANOCORP USA INC</v>
      </c>
      <c r="B6" s="36"/>
      <c r="D6" s="38"/>
      <c r="E6" s="39"/>
      <c r="F6" s="39"/>
      <c r="G6" s="40"/>
      <c r="H6" s="40" t="s">
        <v>164</v>
      </c>
      <c r="N6" s="41"/>
      <c r="Q6" s="42"/>
      <c r="S6" s="42"/>
      <c r="T6" s="43"/>
      <c r="U6" s="43"/>
    </row>
    <row r="7" spans="1:21" s="7" customFormat="1" ht="24.95" customHeight="1">
      <c r="A7" s="46" t="str">
        <f>'[1]Details '!B22</f>
        <v xml:space="preserve">100 3rd Street South       </v>
      </c>
      <c r="B7" s="47"/>
      <c r="D7" s="48"/>
      <c r="E7" s="49"/>
      <c r="F7" s="49"/>
      <c r="H7" s="50"/>
      <c r="N7" s="51"/>
      <c r="Q7" s="8"/>
      <c r="S7" s="8"/>
      <c r="T7" s="9"/>
      <c r="U7" s="9"/>
    </row>
    <row r="8" spans="1:21" s="7" customFormat="1" ht="24.95" customHeight="1">
      <c r="A8" s="52" t="str">
        <f>'[1]Details '!B23</f>
        <v>Suite #100</v>
      </c>
      <c r="B8" s="52"/>
      <c r="D8" s="53"/>
      <c r="E8" s="54"/>
      <c r="F8" s="54"/>
      <c r="G8" s="55"/>
      <c r="N8" s="51"/>
      <c r="Q8" s="8"/>
      <c r="S8" s="8"/>
      <c r="T8" s="9"/>
      <c r="U8" s="9"/>
    </row>
    <row r="9" spans="1:21" s="7" customFormat="1" ht="24.95" customHeight="1">
      <c r="A9" s="47"/>
      <c r="B9" s="46"/>
      <c r="D9" s="48"/>
      <c r="G9" s="55"/>
      <c r="N9" s="51"/>
      <c r="Q9" s="8"/>
      <c r="S9" s="8"/>
      <c r="T9" s="9"/>
      <c r="U9" s="9"/>
    </row>
    <row r="10" spans="1:21" s="58" customFormat="1" ht="24.95" customHeight="1">
      <c r="A10" s="56">
        <f>'[1]Details '!A26</f>
        <v>0</v>
      </c>
      <c r="B10" s="57"/>
      <c r="D10" s="59"/>
      <c r="G10" s="60"/>
      <c r="N10" s="61"/>
      <c r="Q10" s="62"/>
      <c r="S10" s="62"/>
      <c r="T10" s="63"/>
      <c r="U10" s="63"/>
    </row>
    <row r="11" spans="1:21" s="7" customFormat="1" ht="24.95" customHeight="1">
      <c r="A11" s="64" t="s">
        <v>165</v>
      </c>
      <c r="B11" s="46"/>
      <c r="D11" s="48"/>
      <c r="G11" s="55"/>
      <c r="N11" s="51"/>
      <c r="Q11" s="8"/>
      <c r="S11" s="8"/>
      <c r="T11" s="9"/>
      <c r="U11" s="9"/>
    </row>
    <row r="12" spans="1:21" s="7" customFormat="1" ht="24.95" customHeight="1">
      <c r="A12" s="64" t="s">
        <v>166</v>
      </c>
      <c r="B12" s="46"/>
      <c r="D12" s="48"/>
      <c r="G12" s="55"/>
      <c r="H12" s="40"/>
      <c r="I12" s="40"/>
      <c r="J12" s="40"/>
      <c r="K12" s="40"/>
      <c r="L12" s="40"/>
      <c r="M12" s="40"/>
      <c r="N12" s="51"/>
      <c r="Q12" s="8"/>
      <c r="S12" s="8"/>
      <c r="T12" s="9"/>
      <c r="U12" s="9"/>
    </row>
    <row r="13" spans="1:21" s="7" customFormat="1" ht="24.95" customHeight="1">
      <c r="A13" s="64" t="s">
        <v>167</v>
      </c>
      <c r="B13" s="46"/>
      <c r="D13" s="48"/>
      <c r="G13" s="55"/>
      <c r="H13" s="40"/>
      <c r="I13" s="40"/>
      <c r="J13" s="40"/>
      <c r="K13" s="40"/>
      <c r="L13" s="40"/>
      <c r="M13" s="40"/>
      <c r="N13" s="51"/>
      <c r="Q13" s="8"/>
      <c r="S13" s="8"/>
      <c r="T13" s="9"/>
      <c r="U13" s="9"/>
    </row>
    <row r="14" spans="1:21" s="7" customFormat="1" ht="24.95" customHeight="1">
      <c r="A14" s="64" t="s">
        <v>168</v>
      </c>
      <c r="B14" s="46"/>
      <c r="D14" s="48"/>
      <c r="G14" s="55"/>
      <c r="H14" s="40"/>
      <c r="I14" s="40"/>
      <c r="J14" s="40"/>
      <c r="K14" s="40"/>
      <c r="L14" s="40"/>
      <c r="M14" s="40"/>
      <c r="N14" s="51"/>
      <c r="Q14" s="8"/>
      <c r="S14" s="8"/>
      <c r="T14" s="9"/>
      <c r="U14" s="9"/>
    </row>
    <row r="15" spans="1:21" s="7" customFormat="1" ht="24.95" customHeight="1">
      <c r="A15" s="64" t="str">
        <f>'[1]Details '!B30</f>
        <v>Chatsworth</v>
      </c>
      <c r="B15" s="46"/>
      <c r="D15" s="48"/>
      <c r="G15" s="55"/>
      <c r="H15" s="40"/>
      <c r="I15" s="40"/>
      <c r="J15" s="40"/>
      <c r="K15" s="40"/>
      <c r="L15" s="40"/>
      <c r="M15" s="40"/>
      <c r="N15" s="51"/>
      <c r="Q15" s="8"/>
      <c r="S15" s="8"/>
      <c r="T15" s="9"/>
      <c r="U15" s="9"/>
    </row>
    <row r="16" spans="1:21" s="7" customFormat="1" ht="24.95" customHeight="1">
      <c r="A16" s="64" t="str">
        <f>'[1]Details '!B31</f>
        <v>CA 91311</v>
      </c>
      <c r="B16" s="46"/>
      <c r="D16" s="48"/>
      <c r="G16" s="55"/>
      <c r="H16" s="40"/>
      <c r="I16" s="40"/>
      <c r="J16" s="40"/>
      <c r="K16" s="40"/>
      <c r="L16" s="40"/>
      <c r="M16" s="40"/>
      <c r="N16" s="51"/>
      <c r="Q16" s="8"/>
      <c r="S16" s="8"/>
      <c r="T16" s="9"/>
      <c r="U16" s="9"/>
    </row>
    <row r="17" spans="1:44" s="7" customFormat="1" ht="24.95" customHeight="1">
      <c r="A17" s="65" t="str">
        <f>'[1]Details '!B32</f>
        <v>USA</v>
      </c>
      <c r="B17" s="46"/>
      <c r="D17" s="48"/>
      <c r="G17" s="66"/>
      <c r="H17" s="66"/>
      <c r="N17" s="51"/>
      <c r="Q17" s="8"/>
      <c r="S17" s="8"/>
      <c r="T17" s="9"/>
      <c r="U17" s="9"/>
    </row>
    <row r="18" spans="1:44" s="7" customFormat="1" ht="24.95" customHeight="1">
      <c r="A18" s="64" t="str">
        <f>'[1]Details '!B25</f>
        <v>USA</v>
      </c>
      <c r="B18" s="67"/>
      <c r="D18" s="68"/>
      <c r="E18" s="67"/>
      <c r="F18" s="67"/>
      <c r="G18" s="66"/>
      <c r="H18" s="66"/>
      <c r="N18" s="51"/>
      <c r="Q18" s="8"/>
      <c r="S18" s="8"/>
      <c r="T18" s="9"/>
      <c r="U18" s="9"/>
    </row>
    <row r="19" spans="1:44" s="7" customFormat="1" ht="24.95" customHeight="1">
      <c r="A19" s="64"/>
      <c r="B19" s="67"/>
      <c r="D19" s="68"/>
      <c r="E19" s="67"/>
      <c r="F19" s="67"/>
      <c r="G19" s="55"/>
      <c r="H19" s="55"/>
      <c r="N19" s="51"/>
      <c r="Q19" s="8"/>
      <c r="S19" s="8"/>
      <c r="T19" s="9"/>
      <c r="U19" s="9"/>
    </row>
    <row r="20" spans="1:44" s="7" customFormat="1" ht="19.5" customHeight="1">
      <c r="A20" s="69" t="s">
        <v>169</v>
      </c>
      <c r="B20" s="69">
        <f>'[1]Details '!B1</f>
        <v>46281</v>
      </c>
      <c r="C20" s="70">
        <f>'[1]Details '!A2</f>
        <v>0</v>
      </c>
      <c r="D20" s="71" t="str">
        <f>'[1]Details '!B2</f>
        <v>20 GP</v>
      </c>
      <c r="E20" s="69"/>
      <c r="F20" s="69"/>
      <c r="G20" s="66"/>
      <c r="H20" s="66"/>
      <c r="N20" s="51"/>
      <c r="Q20" s="8"/>
      <c r="S20" s="8"/>
      <c r="T20" s="9"/>
      <c r="U20" s="9"/>
    </row>
    <row r="22" spans="1:44" s="14" customFormat="1" ht="24.95" customHeight="1">
      <c r="A22" s="4" t="s">
        <v>94</v>
      </c>
      <c r="B22" s="5" t="s">
        <v>95</v>
      </c>
      <c r="C22" s="4" t="s">
        <v>96</v>
      </c>
      <c r="D22" s="4" t="s">
        <v>97</v>
      </c>
      <c r="E22" s="4" t="s">
        <v>98</v>
      </c>
      <c r="F22" s="4" t="s">
        <v>123</v>
      </c>
      <c r="G22" s="4" t="s">
        <v>0</v>
      </c>
      <c r="H22" s="4" t="s">
        <v>99</v>
      </c>
      <c r="I22" s="4" t="s">
        <v>121</v>
      </c>
      <c r="J22" s="4" t="s">
        <v>100</v>
      </c>
      <c r="K22" s="4" t="s">
        <v>101</v>
      </c>
      <c r="L22" s="4" t="s">
        <v>102</v>
      </c>
      <c r="M22" s="4" t="s">
        <v>103</v>
      </c>
      <c r="N22" s="4" t="s">
        <v>104</v>
      </c>
      <c r="O22" s="10" t="s">
        <v>105</v>
      </c>
      <c r="P22" s="6" t="s">
        <v>106</v>
      </c>
      <c r="Q22" s="11"/>
      <c r="R22" s="11" t="s">
        <v>107</v>
      </c>
      <c r="S22" s="12"/>
      <c r="T22" s="11" t="s">
        <v>108</v>
      </c>
      <c r="U22" s="12"/>
      <c r="V22" s="13" t="s">
        <v>109</v>
      </c>
      <c r="W22" s="13" t="s">
        <v>110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</row>
    <row r="23" spans="1:44" s="20" customFormat="1" ht="54" customHeight="1">
      <c r="A23" s="15" t="s">
        <v>1</v>
      </c>
      <c r="B23" s="15" t="s">
        <v>2</v>
      </c>
      <c r="C23" s="16"/>
      <c r="D23" s="74" t="s">
        <v>130</v>
      </c>
      <c r="E23" s="75"/>
      <c r="F23" s="18">
        <v>2000</v>
      </c>
      <c r="G23" s="18">
        <v>2016</v>
      </c>
      <c r="H23" s="19" t="s">
        <v>114</v>
      </c>
      <c r="I23" s="19"/>
      <c r="J23" s="19" t="s">
        <v>111</v>
      </c>
      <c r="K23" s="19" t="s">
        <v>129</v>
      </c>
      <c r="L23" s="16"/>
      <c r="M23" s="22" t="s">
        <v>152</v>
      </c>
      <c r="N23" s="29" t="s">
        <v>153</v>
      </c>
      <c r="O23" s="16"/>
      <c r="P23" s="19"/>
    </row>
    <row r="24" spans="1:44" s="20" customFormat="1" ht="54" customHeight="1">
      <c r="A24" s="15" t="s">
        <v>3</v>
      </c>
      <c r="B24" s="15" t="s">
        <v>5</v>
      </c>
      <c r="C24" s="16"/>
      <c r="D24" s="72" t="s">
        <v>4</v>
      </c>
      <c r="E24" s="73"/>
      <c r="F24" s="18">
        <v>2000</v>
      </c>
      <c r="G24" s="18">
        <v>640</v>
      </c>
      <c r="H24" s="19">
        <v>10</v>
      </c>
      <c r="I24" s="19"/>
      <c r="J24" s="19">
        <v>64</v>
      </c>
      <c r="K24" s="19" t="s">
        <v>6</v>
      </c>
      <c r="L24" s="16"/>
      <c r="M24" s="22" t="s">
        <v>152</v>
      </c>
      <c r="N24" s="29" t="s">
        <v>153</v>
      </c>
      <c r="O24" s="16"/>
      <c r="P24" s="19"/>
    </row>
    <row r="25" spans="1:44" s="20" customFormat="1" ht="54" customHeight="1">
      <c r="A25" s="15" t="s">
        <v>7</v>
      </c>
      <c r="B25" s="15" t="s">
        <v>8</v>
      </c>
      <c r="C25" s="16"/>
      <c r="D25" s="74" t="s">
        <v>131</v>
      </c>
      <c r="E25" s="75"/>
      <c r="F25" s="19">
        <v>2000</v>
      </c>
      <c r="G25" s="19">
        <v>2000</v>
      </c>
      <c r="H25" s="19" t="s">
        <v>128</v>
      </c>
      <c r="I25" s="19"/>
      <c r="J25" s="19" t="s">
        <v>112</v>
      </c>
      <c r="K25" s="19" t="s">
        <v>9</v>
      </c>
      <c r="L25" s="16"/>
      <c r="M25" s="22" t="s">
        <v>152</v>
      </c>
      <c r="N25" s="29" t="s">
        <v>153</v>
      </c>
      <c r="O25" s="16"/>
      <c r="P25" s="19"/>
    </row>
    <row r="26" spans="1:44" s="20" customFormat="1" ht="54" customHeight="1">
      <c r="A26" s="15" t="s">
        <v>10</v>
      </c>
      <c r="B26" s="15" t="s">
        <v>12</v>
      </c>
      <c r="C26" s="16"/>
      <c r="D26" s="74" t="s">
        <v>11</v>
      </c>
      <c r="E26" s="75"/>
      <c r="F26" s="18">
        <v>2000</v>
      </c>
      <c r="G26" s="18">
        <v>2016</v>
      </c>
      <c r="H26" s="19" t="s">
        <v>13</v>
      </c>
      <c r="I26" s="19"/>
      <c r="J26" s="19" t="s">
        <v>113</v>
      </c>
      <c r="K26" s="19" t="s">
        <v>14</v>
      </c>
      <c r="L26" s="16"/>
      <c r="M26" s="22" t="s">
        <v>152</v>
      </c>
      <c r="N26" s="29" t="s">
        <v>153</v>
      </c>
      <c r="O26" s="16"/>
      <c r="P26" s="19"/>
    </row>
    <row r="27" spans="1:44" s="20" customFormat="1" ht="54" customHeight="1">
      <c r="A27" s="15" t="s">
        <v>15</v>
      </c>
      <c r="B27" s="15" t="s">
        <v>17</v>
      </c>
      <c r="C27" s="16"/>
      <c r="D27" s="72" t="s">
        <v>16</v>
      </c>
      <c r="E27" s="73"/>
      <c r="F27" s="18">
        <v>2000</v>
      </c>
      <c r="G27" s="18">
        <v>2016</v>
      </c>
      <c r="H27" s="19">
        <v>48</v>
      </c>
      <c r="I27" s="19"/>
      <c r="J27" s="19" t="s">
        <v>114</v>
      </c>
      <c r="K27" s="19" t="s">
        <v>18</v>
      </c>
      <c r="L27" s="16"/>
      <c r="M27" s="22" t="s">
        <v>152</v>
      </c>
      <c r="N27" s="29" t="s">
        <v>153</v>
      </c>
      <c r="O27" s="16"/>
      <c r="P27" s="19"/>
    </row>
    <row r="28" spans="1:44" s="20" customFormat="1" ht="54" customHeight="1">
      <c r="A28" s="15" t="s">
        <v>19</v>
      </c>
      <c r="B28" s="15" t="s">
        <v>20</v>
      </c>
      <c r="C28" s="16"/>
      <c r="D28" s="74" t="s">
        <v>134</v>
      </c>
      <c r="E28" s="75"/>
      <c r="F28" s="19">
        <v>2000</v>
      </c>
      <c r="G28" s="19">
        <v>2000</v>
      </c>
      <c r="H28" s="19" t="s">
        <v>132</v>
      </c>
      <c r="I28" s="19"/>
      <c r="J28" s="19" t="s">
        <v>115</v>
      </c>
      <c r="K28" s="19" t="s">
        <v>133</v>
      </c>
      <c r="L28" s="16"/>
      <c r="M28" s="22" t="s">
        <v>152</v>
      </c>
      <c r="N28" s="29" t="s">
        <v>153</v>
      </c>
      <c r="O28" s="16"/>
      <c r="P28" s="19"/>
    </row>
    <row r="29" spans="1:44" s="20" customFormat="1" ht="54" customHeight="1">
      <c r="A29" s="15" t="s">
        <v>21</v>
      </c>
      <c r="B29" s="15" t="s">
        <v>23</v>
      </c>
      <c r="C29" s="16"/>
      <c r="D29" s="74" t="s">
        <v>22</v>
      </c>
      <c r="E29" s="75"/>
      <c r="F29" s="18">
        <v>2000</v>
      </c>
      <c r="G29" s="18">
        <v>2016</v>
      </c>
      <c r="H29" s="19" t="s">
        <v>24</v>
      </c>
      <c r="I29" s="19"/>
      <c r="J29" s="19" t="s">
        <v>111</v>
      </c>
      <c r="K29" s="19" t="s">
        <v>25</v>
      </c>
      <c r="L29" s="16"/>
      <c r="M29" s="22" t="s">
        <v>152</v>
      </c>
      <c r="N29" s="29" t="s">
        <v>153</v>
      </c>
      <c r="O29" s="16"/>
      <c r="P29" s="19"/>
    </row>
    <row r="30" spans="1:44" s="20" customFormat="1" ht="54" customHeight="1">
      <c r="A30" s="15" t="s">
        <v>26</v>
      </c>
      <c r="B30" s="15" t="s">
        <v>28</v>
      </c>
      <c r="C30" s="16"/>
      <c r="D30" s="74" t="s">
        <v>27</v>
      </c>
      <c r="E30" s="75"/>
      <c r="F30" s="18">
        <v>2000</v>
      </c>
      <c r="G30" s="18">
        <v>2016</v>
      </c>
      <c r="H30" s="19" t="s">
        <v>29</v>
      </c>
      <c r="I30" s="19"/>
      <c r="J30" s="19" t="s">
        <v>114</v>
      </c>
      <c r="K30" s="19" t="s">
        <v>30</v>
      </c>
      <c r="L30" s="16"/>
      <c r="M30" s="22" t="s">
        <v>152</v>
      </c>
      <c r="N30" s="29" t="s">
        <v>153</v>
      </c>
      <c r="O30" s="16"/>
      <c r="P30" s="19"/>
    </row>
    <row r="31" spans="1:44" s="20" customFormat="1" ht="54" customHeight="1">
      <c r="A31" s="23" t="s">
        <v>31</v>
      </c>
      <c r="B31" s="23" t="s">
        <v>32</v>
      </c>
      <c r="C31" s="24"/>
      <c r="D31" s="76" t="s">
        <v>151</v>
      </c>
      <c r="E31" s="77"/>
      <c r="F31" s="26">
        <v>2000</v>
      </c>
      <c r="G31" s="26" t="s">
        <v>151</v>
      </c>
      <c r="H31" s="27" t="s">
        <v>151</v>
      </c>
      <c r="I31" s="27"/>
      <c r="J31" s="27" t="s">
        <v>151</v>
      </c>
      <c r="K31" s="27" t="s">
        <v>151</v>
      </c>
      <c r="L31" s="24"/>
      <c r="M31" s="28"/>
      <c r="N31" s="24"/>
      <c r="O31" s="24"/>
      <c r="P31" s="27"/>
    </row>
    <row r="32" spans="1:44" s="20" customFormat="1" ht="54" customHeight="1">
      <c r="A32" s="15" t="s">
        <v>33</v>
      </c>
      <c r="B32" s="15" t="s">
        <v>35</v>
      </c>
      <c r="C32" s="16"/>
      <c r="D32" s="74" t="s">
        <v>34</v>
      </c>
      <c r="E32" s="75"/>
      <c r="F32" s="18">
        <v>2000</v>
      </c>
      <c r="G32" s="18">
        <v>1605</v>
      </c>
      <c r="H32" s="19" t="s">
        <v>36</v>
      </c>
      <c r="I32" s="19"/>
      <c r="J32" s="19" t="s">
        <v>116</v>
      </c>
      <c r="K32" s="19" t="s">
        <v>37</v>
      </c>
      <c r="L32" s="16"/>
      <c r="M32" s="22" t="s">
        <v>152</v>
      </c>
      <c r="N32" s="29" t="s">
        <v>153</v>
      </c>
      <c r="O32" s="16"/>
      <c r="P32" s="31" t="s">
        <v>154</v>
      </c>
    </row>
    <row r="33" spans="1:16" s="20" customFormat="1" ht="54" customHeight="1">
      <c r="A33" s="15" t="s">
        <v>38</v>
      </c>
      <c r="B33" s="15" t="s">
        <v>40</v>
      </c>
      <c r="C33" s="16"/>
      <c r="D33" s="74" t="s">
        <v>39</v>
      </c>
      <c r="E33" s="75"/>
      <c r="F33" s="19">
        <v>2500</v>
      </c>
      <c r="G33" s="19">
        <v>2500</v>
      </c>
      <c r="H33" s="19" t="s">
        <v>41</v>
      </c>
      <c r="I33" s="19"/>
      <c r="J33" s="19" t="s">
        <v>117</v>
      </c>
      <c r="K33" s="19" t="s">
        <v>42</v>
      </c>
      <c r="L33" s="16"/>
      <c r="M33" s="22" t="s">
        <v>152</v>
      </c>
      <c r="N33" s="29" t="s">
        <v>153</v>
      </c>
      <c r="O33" s="16"/>
      <c r="P33" s="19"/>
    </row>
    <row r="34" spans="1:16" s="20" customFormat="1" ht="54" customHeight="1">
      <c r="A34" s="15" t="s">
        <v>43</v>
      </c>
      <c r="B34" s="15" t="s">
        <v>44</v>
      </c>
      <c r="C34" s="16"/>
      <c r="D34" s="74" t="s">
        <v>137</v>
      </c>
      <c r="E34" s="75"/>
      <c r="F34" s="18">
        <v>500</v>
      </c>
      <c r="G34" s="18">
        <v>504</v>
      </c>
      <c r="H34" s="19" t="s">
        <v>135</v>
      </c>
      <c r="I34" s="19"/>
      <c r="J34" s="19" t="s">
        <v>118</v>
      </c>
      <c r="K34" s="19" t="s">
        <v>136</v>
      </c>
      <c r="L34" s="16"/>
      <c r="M34" s="22" t="s">
        <v>152</v>
      </c>
      <c r="N34" s="29" t="s">
        <v>153</v>
      </c>
      <c r="O34" s="16"/>
      <c r="P34" s="19"/>
    </row>
    <row r="35" spans="1:16" s="20" customFormat="1" ht="54" customHeight="1">
      <c r="A35" s="15" t="s">
        <v>45</v>
      </c>
      <c r="B35" s="15" t="s">
        <v>47</v>
      </c>
      <c r="C35" s="16"/>
      <c r="D35" s="72" t="s">
        <v>46</v>
      </c>
      <c r="E35" s="73"/>
      <c r="F35" s="18">
        <v>500</v>
      </c>
      <c r="G35" s="18">
        <v>480</v>
      </c>
      <c r="H35" s="19">
        <v>8</v>
      </c>
      <c r="I35" s="19"/>
      <c r="J35" s="19">
        <v>60</v>
      </c>
      <c r="K35" s="19" t="s">
        <v>48</v>
      </c>
      <c r="L35" s="16"/>
      <c r="M35" s="22" t="s">
        <v>152</v>
      </c>
      <c r="N35" s="29" t="s">
        <v>153</v>
      </c>
      <c r="O35" s="16"/>
      <c r="P35" s="19"/>
    </row>
    <row r="36" spans="1:16" s="20" customFormat="1" ht="54" customHeight="1">
      <c r="A36" s="15" t="s">
        <v>49</v>
      </c>
      <c r="B36" s="15" t="s">
        <v>51</v>
      </c>
      <c r="C36" s="16"/>
      <c r="D36" s="72" t="s">
        <v>50</v>
      </c>
      <c r="E36" s="73"/>
      <c r="F36" s="18">
        <v>500</v>
      </c>
      <c r="G36" s="18">
        <v>480</v>
      </c>
      <c r="H36" s="19">
        <v>8</v>
      </c>
      <c r="I36" s="19"/>
      <c r="J36" s="19">
        <v>60</v>
      </c>
      <c r="K36" s="19" t="s">
        <v>52</v>
      </c>
      <c r="L36" s="16"/>
      <c r="M36" s="22" t="s">
        <v>152</v>
      </c>
      <c r="N36" s="29" t="s">
        <v>153</v>
      </c>
      <c r="O36" s="16"/>
      <c r="P36" s="19"/>
    </row>
    <row r="37" spans="1:16" s="20" customFormat="1" ht="54" customHeight="1">
      <c r="A37" s="15" t="s">
        <v>53</v>
      </c>
      <c r="B37" s="15" t="s">
        <v>55</v>
      </c>
      <c r="C37" s="16"/>
      <c r="D37" s="74" t="s">
        <v>54</v>
      </c>
      <c r="E37" s="75"/>
      <c r="F37" s="18">
        <v>500</v>
      </c>
      <c r="G37" s="18">
        <v>504</v>
      </c>
      <c r="H37" s="19" t="s">
        <v>56</v>
      </c>
      <c r="I37" s="19"/>
      <c r="J37" s="19" t="s">
        <v>119</v>
      </c>
      <c r="K37" s="19" t="s">
        <v>57</v>
      </c>
      <c r="L37" s="16"/>
      <c r="M37" s="22" t="s">
        <v>152</v>
      </c>
      <c r="N37" s="29" t="s">
        <v>153</v>
      </c>
      <c r="O37" s="16"/>
      <c r="P37" s="19"/>
    </row>
    <row r="38" spans="1:16" s="20" customFormat="1" ht="54" customHeight="1">
      <c r="A38" s="15" t="s">
        <v>58</v>
      </c>
      <c r="B38" s="15" t="s">
        <v>60</v>
      </c>
      <c r="C38" s="16"/>
      <c r="D38" s="72" t="s">
        <v>59</v>
      </c>
      <c r="E38" s="73"/>
      <c r="F38" s="18">
        <v>500</v>
      </c>
      <c r="G38" s="18">
        <v>480</v>
      </c>
      <c r="H38" s="19">
        <v>10</v>
      </c>
      <c r="I38" s="19"/>
      <c r="J38" s="19">
        <v>48</v>
      </c>
      <c r="K38" s="19" t="s">
        <v>61</v>
      </c>
      <c r="L38" s="16"/>
      <c r="M38" s="22" t="s">
        <v>152</v>
      </c>
      <c r="N38" s="29" t="s">
        <v>153</v>
      </c>
      <c r="O38" s="16"/>
      <c r="P38" s="19"/>
    </row>
    <row r="39" spans="1:16" s="20" customFormat="1" ht="54" customHeight="1">
      <c r="A39" s="15" t="s">
        <v>62</v>
      </c>
      <c r="B39" s="15" t="s">
        <v>64</v>
      </c>
      <c r="C39" s="16"/>
      <c r="D39" s="72" t="s">
        <v>63</v>
      </c>
      <c r="E39" s="73"/>
      <c r="F39" s="18">
        <v>500</v>
      </c>
      <c r="G39" s="18">
        <v>480</v>
      </c>
      <c r="H39" s="19">
        <v>10</v>
      </c>
      <c r="I39" s="19"/>
      <c r="J39" s="19">
        <v>48</v>
      </c>
      <c r="K39" s="19" t="s">
        <v>65</v>
      </c>
      <c r="L39" s="16"/>
      <c r="M39" s="22" t="s">
        <v>152</v>
      </c>
      <c r="N39" s="29" t="s">
        <v>153</v>
      </c>
      <c r="O39" s="16"/>
      <c r="P39" s="19"/>
    </row>
    <row r="40" spans="1:16" s="20" customFormat="1" ht="54" customHeight="1">
      <c r="A40" s="15" t="s">
        <v>66</v>
      </c>
      <c r="B40" s="15" t="s">
        <v>67</v>
      </c>
      <c r="C40" s="16"/>
      <c r="D40" s="74" t="s">
        <v>138</v>
      </c>
      <c r="E40" s="75"/>
      <c r="F40" s="18">
        <v>500</v>
      </c>
      <c r="G40" s="18">
        <v>504</v>
      </c>
      <c r="H40" s="19" t="s">
        <v>120</v>
      </c>
      <c r="I40" s="19"/>
      <c r="J40" s="19" t="s">
        <v>114</v>
      </c>
      <c r="K40" s="19" t="s">
        <v>139</v>
      </c>
      <c r="L40" s="16"/>
      <c r="M40" s="22" t="s">
        <v>152</v>
      </c>
      <c r="N40" s="29" t="s">
        <v>153</v>
      </c>
      <c r="O40" s="16"/>
      <c r="P40" s="19"/>
    </row>
    <row r="41" spans="1:16" s="20" customFormat="1" ht="54" customHeight="1">
      <c r="A41" s="15" t="s">
        <v>68</v>
      </c>
      <c r="B41" s="15" t="s">
        <v>70</v>
      </c>
      <c r="C41" s="16"/>
      <c r="D41" s="17" t="s">
        <v>69</v>
      </c>
      <c r="E41" s="17"/>
      <c r="F41" s="18">
        <v>500</v>
      </c>
      <c r="G41" s="18">
        <v>504</v>
      </c>
      <c r="H41" s="19" t="s">
        <v>71</v>
      </c>
      <c r="I41" s="19"/>
      <c r="J41" s="19" t="s">
        <v>118</v>
      </c>
      <c r="K41" s="19" t="s">
        <v>72</v>
      </c>
      <c r="L41" s="16"/>
      <c r="M41" s="22" t="s">
        <v>152</v>
      </c>
      <c r="N41" s="29" t="s">
        <v>153</v>
      </c>
      <c r="O41" s="16"/>
      <c r="P41" s="19"/>
    </row>
    <row r="42" spans="1:16" s="20" customFormat="1" ht="54" customHeight="1">
      <c r="A42" s="15" t="s">
        <v>73</v>
      </c>
      <c r="B42" s="15" t="s">
        <v>75</v>
      </c>
      <c r="C42" s="16"/>
      <c r="D42" s="21" t="s">
        <v>74</v>
      </c>
      <c r="E42" s="21"/>
      <c r="F42" s="18">
        <v>1500</v>
      </c>
      <c r="G42" s="18">
        <v>1400</v>
      </c>
      <c r="H42" s="19">
        <v>40</v>
      </c>
      <c r="I42" s="19"/>
      <c r="J42" s="19">
        <v>35</v>
      </c>
      <c r="K42" s="19" t="s">
        <v>76</v>
      </c>
      <c r="L42" s="16"/>
      <c r="M42" s="22" t="s">
        <v>152</v>
      </c>
      <c r="N42" s="29" t="s">
        <v>153</v>
      </c>
      <c r="O42" s="16"/>
      <c r="P42" s="19"/>
    </row>
    <row r="43" spans="1:16" s="20" customFormat="1" ht="54" customHeight="1">
      <c r="A43" s="15" t="s">
        <v>77</v>
      </c>
      <c r="B43" s="15" t="s">
        <v>78</v>
      </c>
      <c r="C43" s="16"/>
      <c r="D43" s="17" t="s">
        <v>140</v>
      </c>
      <c r="E43" s="17"/>
      <c r="F43" s="19">
        <v>36720</v>
      </c>
      <c r="G43" s="19">
        <v>36720</v>
      </c>
      <c r="H43" s="19">
        <f>G43/J43</f>
        <v>1530</v>
      </c>
      <c r="I43" s="19" t="s">
        <v>122</v>
      </c>
      <c r="J43" s="19" t="s">
        <v>124</v>
      </c>
      <c r="K43" s="19"/>
      <c r="L43" s="19" t="s">
        <v>141</v>
      </c>
      <c r="M43" s="22" t="s">
        <v>152</v>
      </c>
      <c r="N43" s="29" t="s">
        <v>153</v>
      </c>
      <c r="O43" s="16"/>
      <c r="P43" s="19"/>
    </row>
    <row r="44" spans="1:16" s="20" customFormat="1" ht="54" customHeight="1">
      <c r="A44" s="15" t="s">
        <v>79</v>
      </c>
      <c r="B44" s="15" t="s">
        <v>81</v>
      </c>
      <c r="C44" s="16"/>
      <c r="D44" s="21" t="s">
        <v>80</v>
      </c>
      <c r="E44" s="21"/>
      <c r="F44" s="19">
        <v>8256</v>
      </c>
      <c r="G44" s="19">
        <v>8256</v>
      </c>
      <c r="H44" s="19">
        <f>G44/J44</f>
        <v>688</v>
      </c>
      <c r="I44" s="19" t="s">
        <v>125</v>
      </c>
      <c r="J44" s="19" t="s">
        <v>120</v>
      </c>
      <c r="K44" s="19"/>
      <c r="L44" s="19">
        <v>552</v>
      </c>
      <c r="M44" s="22" t="s">
        <v>152</v>
      </c>
      <c r="N44" s="29" t="s">
        <v>153</v>
      </c>
      <c r="O44" s="16"/>
      <c r="P44" s="19"/>
    </row>
    <row r="45" spans="1:16" s="20" customFormat="1" ht="54" customHeight="1">
      <c r="A45" s="15" t="s">
        <v>82</v>
      </c>
      <c r="B45" s="15" t="s">
        <v>83</v>
      </c>
      <c r="C45" s="16"/>
      <c r="D45" s="17" t="s">
        <v>142</v>
      </c>
      <c r="E45" s="21"/>
      <c r="F45" s="19">
        <v>2538</v>
      </c>
      <c r="G45" s="19">
        <v>2538</v>
      </c>
      <c r="H45" s="19" t="s">
        <v>143</v>
      </c>
      <c r="I45" s="19"/>
      <c r="J45" s="19" t="s">
        <v>126</v>
      </c>
      <c r="K45" s="19" t="s">
        <v>144</v>
      </c>
      <c r="L45" s="16"/>
      <c r="M45" s="22" t="s">
        <v>152</v>
      </c>
      <c r="N45" s="29" t="s">
        <v>153</v>
      </c>
      <c r="O45" s="16"/>
      <c r="P45" s="19"/>
    </row>
    <row r="46" spans="1:16" s="20" customFormat="1" ht="54" customHeight="1">
      <c r="A46" s="15" t="s">
        <v>84</v>
      </c>
      <c r="B46" s="15" t="s">
        <v>86</v>
      </c>
      <c r="C46" s="16"/>
      <c r="D46" s="21" t="s">
        <v>85</v>
      </c>
      <c r="E46" s="21"/>
      <c r="F46" s="19">
        <v>1764</v>
      </c>
      <c r="G46" s="19">
        <v>1764</v>
      </c>
      <c r="H46" s="19">
        <v>14</v>
      </c>
      <c r="I46" s="19"/>
      <c r="J46" s="19" t="s">
        <v>119</v>
      </c>
      <c r="K46" s="19" t="s">
        <v>87</v>
      </c>
      <c r="L46" s="16"/>
      <c r="M46" s="22" t="s">
        <v>152</v>
      </c>
      <c r="N46" s="29" t="s">
        <v>153</v>
      </c>
      <c r="O46" s="16"/>
      <c r="P46" s="19"/>
    </row>
    <row r="47" spans="1:16" s="20" customFormat="1" ht="54" customHeight="1">
      <c r="A47" s="15" t="s">
        <v>88</v>
      </c>
      <c r="B47" s="15" t="s">
        <v>89</v>
      </c>
      <c r="C47" s="16"/>
      <c r="D47" s="17" t="s">
        <v>146</v>
      </c>
      <c r="E47" s="17"/>
      <c r="F47" s="18">
        <v>196</v>
      </c>
      <c r="G47" s="18">
        <v>200</v>
      </c>
      <c r="H47" s="19" t="s">
        <v>145</v>
      </c>
      <c r="I47" s="19"/>
      <c r="J47" s="19" t="s">
        <v>127</v>
      </c>
      <c r="K47" s="19" t="s">
        <v>147</v>
      </c>
      <c r="L47" s="16"/>
      <c r="M47" s="22" t="s">
        <v>152</v>
      </c>
      <c r="N47" s="29" t="s">
        <v>153</v>
      </c>
      <c r="O47" s="16"/>
      <c r="P47" s="19"/>
    </row>
    <row r="48" spans="1:16" s="20" customFormat="1" ht="54" customHeight="1">
      <c r="A48" s="15" t="s">
        <v>90</v>
      </c>
      <c r="B48" s="15" t="s">
        <v>91</v>
      </c>
      <c r="C48" s="16"/>
      <c r="D48" s="17" t="s">
        <v>150</v>
      </c>
      <c r="E48" s="17"/>
      <c r="F48" s="18">
        <v>2016</v>
      </c>
      <c r="G48" s="18">
        <v>1359</v>
      </c>
      <c r="H48" s="19" t="s">
        <v>149</v>
      </c>
      <c r="I48" s="19"/>
      <c r="J48" s="19" t="s">
        <v>111</v>
      </c>
      <c r="K48" s="19" t="s">
        <v>148</v>
      </c>
      <c r="L48" s="16"/>
      <c r="M48" s="22" t="s">
        <v>152</v>
      </c>
      <c r="N48" s="29" t="s">
        <v>153</v>
      </c>
      <c r="O48" s="16"/>
      <c r="P48" s="30" t="s">
        <v>155</v>
      </c>
    </row>
    <row r="49" spans="1:16" s="20" customFormat="1" ht="54" customHeight="1">
      <c r="A49" s="23" t="s">
        <v>92</v>
      </c>
      <c r="B49" s="23" t="s">
        <v>93</v>
      </c>
      <c r="C49" s="24"/>
      <c r="D49" s="33" t="s">
        <v>157</v>
      </c>
      <c r="E49" s="25"/>
      <c r="F49" s="26">
        <v>2000</v>
      </c>
      <c r="G49" s="26" t="s">
        <v>151</v>
      </c>
      <c r="H49" s="27" t="s">
        <v>151</v>
      </c>
      <c r="I49" s="27"/>
      <c r="J49" s="27" t="s">
        <v>151</v>
      </c>
      <c r="K49" s="27" t="s">
        <v>151</v>
      </c>
      <c r="L49" s="24"/>
      <c r="M49" s="28"/>
      <c r="N49" s="24"/>
      <c r="O49" s="24"/>
      <c r="P49" s="27" t="s">
        <v>151</v>
      </c>
    </row>
    <row r="51" spans="1:16">
      <c r="A51" s="32"/>
      <c r="B51" s="2" t="s">
        <v>156</v>
      </c>
      <c r="C51" s="2"/>
      <c r="D51" s="2"/>
      <c r="F51" s="3"/>
      <c r="G51" s="3"/>
    </row>
    <row r="52" spans="1:16" ht="15.75">
      <c r="A52" s="34" t="s">
        <v>157</v>
      </c>
      <c r="B52" s="2" t="s">
        <v>158</v>
      </c>
    </row>
    <row r="53" spans="1:16">
      <c r="A53" s="2"/>
    </row>
  </sheetData>
  <mergeCells count="33">
    <mergeCell ref="G2:H2"/>
    <mergeCell ref="A8:B8"/>
    <mergeCell ref="G17:H17"/>
    <mergeCell ref="G18:H18"/>
    <mergeCell ref="G20:H20"/>
    <mergeCell ref="D25:E25"/>
    <mergeCell ref="D24:E24"/>
    <mergeCell ref="D23:E23"/>
    <mergeCell ref="D30:E30"/>
    <mergeCell ref="D29:E29"/>
    <mergeCell ref="D28:E28"/>
    <mergeCell ref="D27:E27"/>
    <mergeCell ref="D26:E26"/>
    <mergeCell ref="D35:E35"/>
    <mergeCell ref="D34:E34"/>
    <mergeCell ref="D33:E33"/>
    <mergeCell ref="D32:E32"/>
    <mergeCell ref="D31:E31"/>
    <mergeCell ref="F51:G51"/>
    <mergeCell ref="D49:E49"/>
    <mergeCell ref="D48:E48"/>
    <mergeCell ref="D47:E47"/>
    <mergeCell ref="D46:E46"/>
    <mergeCell ref="D45:E45"/>
    <mergeCell ref="D44:E44"/>
    <mergeCell ref="D43:E43"/>
    <mergeCell ref="D42:E42"/>
    <mergeCell ref="D41:E41"/>
    <mergeCell ref="D40:E40"/>
    <mergeCell ref="D39:E39"/>
    <mergeCell ref="D38:E38"/>
    <mergeCell ref="D37:E37"/>
    <mergeCell ref="D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Picking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Export Warehouse</cp:lastModifiedBy>
  <dcterms:created xsi:type="dcterms:W3CDTF">2026-09-14T21:55:28Z</dcterms:created>
  <dcterms:modified xsi:type="dcterms:W3CDTF">2026-09-14T22:44:08Z</dcterms:modified>
  <cp:category/>
</cp:coreProperties>
</file>